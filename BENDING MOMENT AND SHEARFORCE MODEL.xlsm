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2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MY FILES\B.MOMENT AND SHEARFORCE MODEL\"/>
    </mc:Choice>
  </mc:AlternateContent>
  <xr:revisionPtr revIDLastSave="0" documentId="13_ncr:1_{952B5B7F-E154-4F23-A9F6-37B2A8F27EB2}" xr6:coauthVersionLast="36" xr6:coauthVersionMax="36" xr10:uidLastSave="{00000000-0000-0000-0000-000000000000}"/>
  <bookViews>
    <workbookView xWindow="480" yWindow="105" windowWidth="14295" windowHeight="4635" xr2:uid="{00000000-000D-0000-FFFF-FFFF00000000}"/>
  </bookViews>
  <sheets>
    <sheet name="BENDING MOMENT" sheetId="1" r:id="rId1"/>
    <sheet name="shear force" sheetId="2" r:id="rId2"/>
    <sheet name="Sheet3" sheetId="3" r:id="rId3"/>
    <sheet name="Sheet4" sheetId="4" r:id="rId4"/>
  </sheets>
  <functionGroups builtInGroupCount="19"/>
  <definedNames>
    <definedName name="span">'BENDING MOMENT'!$B$1</definedName>
  </definedNames>
  <calcPr calcId="191029"/>
</workbook>
</file>

<file path=xl/calcChain.xml><?xml version="1.0" encoding="utf-8"?>
<calcChain xmlns="http://schemas.openxmlformats.org/spreadsheetml/2006/main">
  <c r="C63" i="4" l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M4" i="3"/>
  <c r="N4" i="3" s="1"/>
  <c r="M3" i="3"/>
  <c r="N3" i="3" s="1"/>
  <c r="M2" i="3"/>
  <c r="N2" i="3" s="1"/>
  <c r="C50" i="4"/>
  <c r="D57" i="4" l="1"/>
  <c r="F57" i="4" s="1"/>
  <c r="K42" i="4"/>
  <c r="J42" i="4"/>
  <c r="I42" i="4"/>
  <c r="H42" i="4"/>
  <c r="G42" i="4"/>
  <c r="F42" i="4"/>
  <c r="E42" i="4"/>
  <c r="C37" i="4"/>
  <c r="C39" i="4" s="1"/>
  <c r="G43" i="4" s="1"/>
  <c r="D56" i="4" s="1"/>
  <c r="F56" i="4" s="1"/>
  <c r="C17" i="4"/>
  <c r="C18" i="4" s="1"/>
  <c r="C16" i="4"/>
  <c r="D8" i="4"/>
  <c r="E8" i="4"/>
  <c r="F8" i="4"/>
  <c r="G8" i="4"/>
  <c r="H8" i="4"/>
  <c r="I8" i="4"/>
  <c r="J8" i="4"/>
  <c r="K8" i="4"/>
  <c r="C8" i="4"/>
  <c r="F2" i="4"/>
  <c r="G2" i="4"/>
  <c r="H2" i="4"/>
  <c r="I2" i="4"/>
  <c r="J2" i="4"/>
  <c r="K2" i="4"/>
  <c r="E2" i="4"/>
  <c r="A36" i="2"/>
  <c r="B12" i="2"/>
  <c r="B24" i="2"/>
  <c r="B24" i="1"/>
  <c r="B30" i="2"/>
  <c r="B31" i="2"/>
  <c r="B32" i="2"/>
  <c r="B33" i="2"/>
  <c r="B34" i="2"/>
  <c r="B35" i="2"/>
  <c r="B29" i="2"/>
  <c r="AA29" i="2" s="1"/>
  <c r="B30" i="1"/>
  <c r="B31" i="1"/>
  <c r="B32" i="1"/>
  <c r="B33" i="1"/>
  <c r="B34" i="1"/>
  <c r="B35" i="1"/>
  <c r="B29" i="1"/>
  <c r="A36" i="1"/>
  <c r="B12" i="1"/>
  <c r="W36" i="2"/>
  <c r="T36" i="2"/>
  <c r="Q36" i="2"/>
  <c r="N36" i="2"/>
  <c r="K36" i="2"/>
  <c r="H36" i="2"/>
  <c r="E36" i="2"/>
  <c r="H36" i="1"/>
  <c r="K36" i="1"/>
  <c r="N36" i="1"/>
  <c r="Q36" i="1"/>
  <c r="T36" i="1"/>
  <c r="W36" i="1"/>
  <c r="Z36" i="1"/>
  <c r="D16" i="2"/>
  <c r="D28" i="2"/>
  <c r="G4" i="2"/>
  <c r="D4" i="2"/>
  <c r="G10" i="2"/>
  <c r="G16" i="1"/>
  <c r="G4" i="1"/>
  <c r="F58" i="4" l="1"/>
  <c r="B36" i="1"/>
  <c r="C43" i="4"/>
  <c r="H43" i="4"/>
  <c r="D43" i="4"/>
  <c r="E43" i="4"/>
  <c r="I43" i="4"/>
  <c r="J43" i="4"/>
  <c r="F43" i="4"/>
  <c r="K43" i="4"/>
  <c r="B36" i="2"/>
  <c r="AA30" i="2"/>
  <c r="AA31" i="2" l="1"/>
  <c r="AA32" i="2" l="1"/>
  <c r="AA33" i="2" l="1"/>
  <c r="AA34" i="2" l="1"/>
  <c r="AA35" i="2" l="1"/>
  <c r="AA17" i="2"/>
  <c r="AA18" i="2" l="1"/>
  <c r="AA19" i="2" l="1"/>
  <c r="AA20" i="2" l="1"/>
  <c r="AA21" i="2" l="1"/>
  <c r="AA22" i="2" l="1"/>
  <c r="AA5" i="2"/>
  <c r="AA6" i="2" l="1"/>
  <c r="X29" i="2"/>
  <c r="AA7" i="2" l="1"/>
  <c r="X30" i="2"/>
  <c r="AA8" i="2" l="1"/>
  <c r="X31" i="2"/>
  <c r="AA9" i="2" l="1"/>
  <c r="AA11" i="2" s="1"/>
  <c r="X32" i="2"/>
  <c r="AA10" i="2" l="1"/>
  <c r="X33" i="2"/>
  <c r="X34" i="2" l="1"/>
  <c r="X35" i="2" l="1"/>
  <c r="X36" i="2" s="1"/>
  <c r="X17" i="2"/>
  <c r="X18" i="2" l="1"/>
  <c r="X19" i="2" l="1"/>
  <c r="X20" i="2" l="1"/>
  <c r="X21" i="2" l="1"/>
  <c r="X22" i="2" l="1"/>
  <c r="X5" i="2"/>
  <c r="X6" i="2" l="1"/>
  <c r="U29" i="2"/>
  <c r="X7" i="2" l="1"/>
  <c r="U30" i="2"/>
  <c r="X8" i="2" l="1"/>
  <c r="U31" i="2"/>
  <c r="X9" i="2" l="1"/>
  <c r="U32" i="2"/>
  <c r="X10" i="2" l="1"/>
  <c r="X11" i="2" s="1"/>
  <c r="U33" i="2"/>
  <c r="U34" i="2" l="1"/>
  <c r="U35" i="2" l="1"/>
  <c r="U36" i="2" s="1"/>
  <c r="U17" i="2"/>
  <c r="U18" i="2" l="1"/>
  <c r="U19" i="2" l="1"/>
  <c r="U20" i="2" l="1"/>
  <c r="U21" i="2" l="1"/>
  <c r="U22" i="2" l="1"/>
  <c r="U5" i="2"/>
  <c r="U6" i="2" l="1"/>
  <c r="R29" i="2"/>
  <c r="U7" i="2" l="1"/>
  <c r="R30" i="2"/>
  <c r="U8" i="2" l="1"/>
  <c r="R31" i="2"/>
  <c r="U9" i="2" l="1"/>
  <c r="R32" i="2"/>
  <c r="U10" i="2" l="1"/>
  <c r="U11" i="2" s="1"/>
  <c r="R33" i="2"/>
  <c r="R34" i="2" l="1"/>
  <c r="R35" i="2" l="1"/>
  <c r="R36" i="2" s="1"/>
  <c r="R17" i="2"/>
  <c r="R18" i="2" l="1"/>
  <c r="R19" i="2" l="1"/>
  <c r="R20" i="2" l="1"/>
  <c r="R21" i="2" l="1"/>
  <c r="R22" i="2" l="1"/>
  <c r="R5" i="2"/>
  <c r="R6" i="2" l="1"/>
  <c r="O29" i="2"/>
  <c r="R7" i="2" l="1"/>
  <c r="O30" i="2"/>
  <c r="R8" i="2" l="1"/>
  <c r="O31" i="2"/>
  <c r="R9" i="2" l="1"/>
  <c r="O32" i="2"/>
  <c r="R10" i="2" l="1"/>
  <c r="R11" i="2" s="1"/>
  <c r="O33" i="2"/>
  <c r="O34" i="2" l="1"/>
  <c r="O35" i="2" l="1"/>
  <c r="O36" i="2" s="1"/>
  <c r="O17" i="2"/>
  <c r="O18" i="2" l="1"/>
  <c r="O19" i="2" l="1"/>
  <c r="O20" i="2" l="1"/>
  <c r="O21" i="2" l="1"/>
  <c r="O22" i="2" l="1"/>
  <c r="O5" i="2"/>
  <c r="O6" i="2" l="1"/>
  <c r="L29" i="2"/>
  <c r="O7" i="2" l="1"/>
  <c r="L30" i="2"/>
  <c r="O8" i="2" l="1"/>
  <c r="L31" i="2"/>
  <c r="O9" i="2" l="1"/>
  <c r="L32" i="2"/>
  <c r="O10" i="2" l="1"/>
  <c r="O11" i="2" s="1"/>
  <c r="L33" i="2"/>
  <c r="L34" i="2" l="1"/>
  <c r="L35" i="2" l="1"/>
  <c r="L36" i="2" s="1"/>
  <c r="L17" i="2"/>
  <c r="L18" i="2" l="1"/>
  <c r="L19" i="2" l="1"/>
  <c r="L20" i="2" l="1"/>
  <c r="L21" i="2" l="1"/>
  <c r="L22" i="2" l="1"/>
  <c r="L5" i="2"/>
  <c r="L6" i="2" l="1"/>
  <c r="I29" i="2"/>
  <c r="L7" i="2" l="1"/>
  <c r="I30" i="2"/>
  <c r="L8" i="2" l="1"/>
  <c r="I31" i="2"/>
  <c r="L9" i="2" l="1"/>
  <c r="I32" i="2"/>
  <c r="L10" i="2" l="1"/>
  <c r="L11" i="2" s="1"/>
  <c r="I33" i="2"/>
  <c r="I34" i="2" l="1"/>
  <c r="I35" i="2" l="1"/>
  <c r="I36" i="2" s="1"/>
  <c r="I17" i="2"/>
  <c r="I18" i="2" l="1"/>
  <c r="I19" i="2" l="1"/>
  <c r="I20" i="2" l="1"/>
  <c r="I21" i="2" l="1"/>
  <c r="I22" i="2" l="1"/>
  <c r="I5" i="2"/>
  <c r="G16" i="2"/>
  <c r="G28" i="2"/>
  <c r="I6" i="2" l="1"/>
  <c r="F29" i="2"/>
  <c r="G29" i="2"/>
  <c r="I7" i="2" l="1"/>
  <c r="F30" i="2"/>
  <c r="G30" i="2"/>
  <c r="I8" i="2" l="1"/>
  <c r="F31" i="2"/>
  <c r="G31" i="2"/>
  <c r="I9" i="2" l="1"/>
  <c r="F32" i="2"/>
  <c r="G32" i="2"/>
  <c r="I10" i="2" l="1"/>
  <c r="I11" i="2" s="1"/>
  <c r="F33" i="2"/>
  <c r="G33" i="2"/>
  <c r="F34" i="2" l="1"/>
  <c r="G34" i="2"/>
  <c r="F35" i="2" l="1"/>
  <c r="F17" i="2"/>
  <c r="G17" i="2"/>
  <c r="G35" i="2"/>
  <c r="G36" i="2" l="1"/>
  <c r="F36" i="2"/>
  <c r="F18" i="2"/>
  <c r="G18" i="2"/>
  <c r="F19" i="2" l="1"/>
  <c r="G19" i="2"/>
  <c r="F20" i="2" l="1"/>
  <c r="G20" i="2"/>
  <c r="F21" i="2" l="1"/>
  <c r="G21" i="2"/>
  <c r="F22" i="2" l="1"/>
  <c r="F5" i="2"/>
  <c r="G22" i="2"/>
  <c r="G5" i="2"/>
  <c r="G24" i="2" l="1"/>
  <c r="F6" i="2"/>
  <c r="AA2" i="2"/>
  <c r="Y2" i="2"/>
  <c r="X2" i="2"/>
  <c r="V2" i="2"/>
  <c r="U2" i="2"/>
  <c r="S2" i="2"/>
  <c r="R2" i="2"/>
  <c r="P2" i="2"/>
  <c r="O2" i="2"/>
  <c r="M2" i="2"/>
  <c r="L2" i="2"/>
  <c r="J2" i="2"/>
  <c r="I2" i="2"/>
  <c r="AA29" i="1"/>
  <c r="S10" i="2"/>
  <c r="AB18" i="2"/>
  <c r="Y17" i="2"/>
  <c r="M22" i="2"/>
  <c r="S5" i="2"/>
  <c r="S7" i="2"/>
  <c r="P34" i="2"/>
  <c r="AB32" i="2"/>
  <c r="Y8" i="2"/>
  <c r="AB17" i="2"/>
  <c r="P4" i="2"/>
  <c r="AB29" i="2"/>
  <c r="P29" i="2"/>
  <c r="M10" i="2"/>
  <c r="M4" i="2"/>
  <c r="V11" i="2"/>
  <c r="V4" i="2"/>
  <c r="P18" i="2"/>
  <c r="P20" i="2"/>
  <c r="V6" i="2"/>
  <c r="P10" i="2"/>
  <c r="AB31" i="2"/>
  <c r="AB33" i="2"/>
  <c r="V32" i="2"/>
  <c r="S28" i="2"/>
  <c r="J11" i="2"/>
  <c r="Y31" i="2"/>
  <c r="AB6" i="2"/>
  <c r="V9" i="2"/>
  <c r="AB30" i="2"/>
  <c r="M28" i="2"/>
  <c r="J18" i="2"/>
  <c r="M20" i="2"/>
  <c r="P11" i="2"/>
  <c r="J22" i="2"/>
  <c r="S35" i="2"/>
  <c r="J33" i="2"/>
  <c r="Y11" i="2"/>
  <c r="AB5" i="2"/>
  <c r="P28" i="2"/>
  <c r="S16" i="2"/>
  <c r="S17" i="2"/>
  <c r="J7" i="2"/>
  <c r="Y18" i="2"/>
  <c r="S18" i="2"/>
  <c r="S31" i="2"/>
  <c r="Y30" i="2"/>
  <c r="J21" i="2"/>
  <c r="Y34" i="2"/>
  <c r="M29" i="2"/>
  <c r="V8" i="2"/>
  <c r="P22" i="2"/>
  <c r="AB28" i="2"/>
  <c r="Y9" i="2"/>
  <c r="M8" i="2"/>
  <c r="P21" i="2"/>
  <c r="AB22" i="2"/>
  <c r="M19" i="2"/>
  <c r="M17" i="2"/>
  <c r="Y29" i="2"/>
  <c r="S32" i="2"/>
  <c r="J29" i="2"/>
  <c r="P9" i="2"/>
  <c r="M16" i="2"/>
  <c r="P8" i="2"/>
  <c r="P7" i="2"/>
  <c r="V22" i="2"/>
  <c r="Y33" i="2"/>
  <c r="M33" i="2"/>
  <c r="J17" i="2"/>
  <c r="V28" i="2"/>
  <c r="J6" i="2"/>
  <c r="J19" i="2"/>
  <c r="V10" i="2"/>
  <c r="Y28" i="2"/>
  <c r="J35" i="2"/>
  <c r="P6" i="2"/>
  <c r="J30" i="2"/>
  <c r="P35" i="2"/>
  <c r="AB10" i="2"/>
  <c r="S20" i="2"/>
  <c r="M7" i="2"/>
  <c r="S6" i="2"/>
  <c r="G6" i="2"/>
  <c r="S9" i="2"/>
  <c r="M9" i="2"/>
  <c r="S29" i="2"/>
  <c r="Y22" i="2"/>
  <c r="S19" i="2"/>
  <c r="M11" i="2"/>
  <c r="V31" i="2"/>
  <c r="S8" i="2"/>
  <c r="Y21" i="2"/>
  <c r="Y6" i="2"/>
  <c r="V18" i="2"/>
  <c r="AB7" i="2"/>
  <c r="P32" i="2"/>
  <c r="M31" i="2"/>
  <c r="J32" i="2"/>
  <c r="AB11" i="2"/>
  <c r="S34" i="2"/>
  <c r="AB8" i="2"/>
  <c r="AB4" i="2"/>
  <c r="M21" i="2"/>
  <c r="AB16" i="2"/>
  <c r="M32" i="2"/>
  <c r="AB19" i="2"/>
  <c r="J5" i="2"/>
  <c r="V35" i="2"/>
  <c r="J28" i="2"/>
  <c r="P33" i="2"/>
  <c r="J8" i="2"/>
  <c r="J16" i="2"/>
  <c r="J10" i="2"/>
  <c r="V34" i="2"/>
  <c r="V5" i="2"/>
  <c r="S11" i="2"/>
  <c r="J31" i="2"/>
  <c r="P31" i="2"/>
  <c r="P19" i="2"/>
  <c r="AB21" i="2"/>
  <c r="Y5" i="2"/>
  <c r="M34" i="2"/>
  <c r="S33" i="2"/>
  <c r="V21" i="2"/>
  <c r="AB34" i="2"/>
  <c r="P5" i="2"/>
  <c r="V17" i="2"/>
  <c r="J9" i="2"/>
  <c r="Y16" i="2"/>
  <c r="S30" i="2"/>
  <c r="J4" i="2"/>
  <c r="P17" i="2"/>
  <c r="Y10" i="2"/>
  <c r="S21" i="2"/>
  <c r="M6" i="2"/>
  <c r="Y4" i="2"/>
  <c r="V7" i="2"/>
  <c r="V20" i="2"/>
  <c r="Y20" i="2"/>
  <c r="Y35" i="2"/>
  <c r="M35" i="2"/>
  <c r="Y7" i="2"/>
  <c r="M18" i="2"/>
  <c r="M30" i="2"/>
  <c r="P30" i="2"/>
  <c r="M5" i="2"/>
  <c r="AB9" i="2"/>
  <c r="J20" i="2"/>
  <c r="V33" i="2"/>
  <c r="V30" i="2"/>
  <c r="Y32" i="2"/>
  <c r="AB20" i="2"/>
  <c r="V29" i="2"/>
  <c r="Y19" i="2"/>
  <c r="P16" i="2"/>
  <c r="V16" i="2"/>
  <c r="AB35" i="2"/>
  <c r="S4" i="2"/>
  <c r="S22" i="2"/>
  <c r="V19" i="2"/>
  <c r="J34" i="2"/>
  <c r="AB12" i="2" l="1"/>
  <c r="Y12" i="2"/>
  <c r="V12" i="2"/>
  <c r="S12" i="2"/>
  <c r="P12" i="2"/>
  <c r="M12" i="2"/>
  <c r="J12" i="2"/>
  <c r="M36" i="2"/>
  <c r="M24" i="2"/>
  <c r="S36" i="2"/>
  <c r="S24" i="2"/>
  <c r="J36" i="2"/>
  <c r="J24" i="2"/>
  <c r="P36" i="2"/>
  <c r="P24" i="2"/>
  <c r="V36" i="2"/>
  <c r="V24" i="2"/>
  <c r="AB36" i="2"/>
  <c r="AB24" i="2"/>
  <c r="Y36" i="2"/>
  <c r="Y24" i="2"/>
  <c r="F7" i="2"/>
  <c r="AA30" i="1"/>
  <c r="X29" i="1"/>
  <c r="G7" i="2"/>
  <c r="F8" i="2" l="1"/>
  <c r="AA31" i="1"/>
  <c r="X30" i="1"/>
  <c r="U29" i="1"/>
  <c r="G8" i="2"/>
  <c r="F9" i="2" l="1"/>
  <c r="AA32" i="1"/>
  <c r="X31" i="1"/>
  <c r="U30" i="1"/>
  <c r="R29" i="1"/>
  <c r="G9" i="2"/>
  <c r="F10" i="2" l="1"/>
  <c r="AA33" i="1"/>
  <c r="X32" i="1"/>
  <c r="U31" i="1"/>
  <c r="R30" i="1"/>
  <c r="O29" i="1"/>
  <c r="F11" i="2" l="1"/>
  <c r="AA34" i="1"/>
  <c r="X33" i="1"/>
  <c r="U32" i="1"/>
  <c r="R31" i="1"/>
  <c r="O30" i="1"/>
  <c r="L29" i="1"/>
  <c r="G11" i="2"/>
  <c r="G12" i="2" l="1"/>
  <c r="AA35" i="1"/>
  <c r="AA36" i="1" s="1"/>
  <c r="X34" i="1"/>
  <c r="U33" i="1"/>
  <c r="R32" i="1"/>
  <c r="O31" i="1"/>
  <c r="L30" i="1"/>
  <c r="I29" i="1"/>
  <c r="X35" i="1" l="1"/>
  <c r="X36" i="1" s="1"/>
  <c r="U34" i="1"/>
  <c r="R33" i="1"/>
  <c r="O32" i="1"/>
  <c r="L31" i="1"/>
  <c r="I30" i="1"/>
  <c r="U35" i="1" l="1"/>
  <c r="U36" i="1" s="1"/>
  <c r="R34" i="1"/>
  <c r="O33" i="1"/>
  <c r="L32" i="1"/>
  <c r="I31" i="1"/>
  <c r="R35" i="1" l="1"/>
  <c r="R36" i="1" s="1"/>
  <c r="O34" i="1"/>
  <c r="L33" i="1"/>
  <c r="I32" i="1"/>
  <c r="O35" i="1" l="1"/>
  <c r="O36" i="1" s="1"/>
  <c r="L34" i="1"/>
  <c r="I33" i="1"/>
  <c r="L35" i="1" l="1"/>
  <c r="L36" i="1" s="1"/>
  <c r="I34" i="1"/>
  <c r="I35" i="1" l="1"/>
  <c r="I36" i="1" s="1"/>
  <c r="F29" i="1" l="1"/>
  <c r="G29" i="1"/>
  <c r="G28" i="1"/>
  <c r="F30" i="1" l="1"/>
  <c r="AA17" i="1"/>
  <c r="G30" i="1"/>
  <c r="F31" i="1" l="1"/>
  <c r="AA18" i="1"/>
  <c r="X17" i="1"/>
  <c r="G31" i="1"/>
  <c r="F32" i="1" l="1"/>
  <c r="X18" i="1"/>
  <c r="AA19" i="1"/>
  <c r="U17" i="1"/>
  <c r="G32" i="1"/>
  <c r="F33" i="1" l="1"/>
  <c r="X19" i="1"/>
  <c r="AA20" i="1"/>
  <c r="U18" i="1"/>
  <c r="R17" i="1"/>
  <c r="G33" i="1"/>
  <c r="F34" i="1" l="1"/>
  <c r="F35" i="1" s="1"/>
  <c r="X20" i="1"/>
  <c r="AA21" i="1"/>
  <c r="U19" i="1"/>
  <c r="R18" i="1"/>
  <c r="O17" i="1"/>
  <c r="G34" i="1"/>
  <c r="G35" i="1"/>
  <c r="X21" i="1" l="1"/>
  <c r="AA22" i="1"/>
  <c r="U20" i="1"/>
  <c r="O18" i="1"/>
  <c r="R19" i="1"/>
  <c r="L17" i="1"/>
  <c r="X22" i="1" l="1"/>
  <c r="R20" i="1"/>
  <c r="L18" i="1"/>
  <c r="U21" i="1"/>
  <c r="O19" i="1"/>
  <c r="I17" i="1"/>
  <c r="O20" i="1" l="1"/>
  <c r="I18" i="1"/>
  <c r="R21" i="1"/>
  <c r="L19" i="1"/>
  <c r="U22" i="1"/>
  <c r="F17" i="1"/>
  <c r="G17" i="1"/>
  <c r="G36" i="1" l="1"/>
  <c r="O21" i="1"/>
  <c r="F18" i="1"/>
  <c r="I19" i="1"/>
  <c r="R22" i="1"/>
  <c r="L20" i="1"/>
  <c r="F5" i="1"/>
  <c r="G18" i="1"/>
  <c r="G5" i="1"/>
  <c r="L21" i="1" l="1"/>
  <c r="O22" i="1"/>
  <c r="F19" i="1"/>
  <c r="I20" i="1"/>
  <c r="F6" i="1"/>
  <c r="I5" i="1"/>
  <c r="G19" i="1"/>
  <c r="G6" i="1"/>
  <c r="L22" i="1" l="1"/>
  <c r="F20" i="1"/>
  <c r="I21" i="1"/>
  <c r="F7" i="1"/>
  <c r="I6" i="1"/>
  <c r="I7" i="1" s="1"/>
  <c r="I8" i="1" s="1"/>
  <c r="I9" i="1" s="1"/>
  <c r="I10" i="1" s="1"/>
  <c r="AA5" i="1"/>
  <c r="G20" i="1"/>
  <c r="G7" i="1"/>
  <c r="I11" i="1" l="1"/>
  <c r="I12" i="1" s="1"/>
  <c r="F21" i="1"/>
  <c r="I22" i="1"/>
  <c r="F8" i="1"/>
  <c r="AA6" i="1"/>
  <c r="X5" i="1"/>
  <c r="G21" i="1"/>
  <c r="G8" i="1"/>
  <c r="F22" i="1" l="1"/>
  <c r="F9" i="1"/>
  <c r="F10" i="1" s="1"/>
  <c r="F11" i="1" s="1"/>
  <c r="AA7" i="1"/>
  <c r="AA8" i="1" s="1"/>
  <c r="AA9" i="1" s="1"/>
  <c r="AA10" i="1" s="1"/>
  <c r="X6" i="1"/>
  <c r="X7" i="1" s="1"/>
  <c r="X8" i="1" s="1"/>
  <c r="X9" i="1" s="1"/>
  <c r="X10" i="1" s="1"/>
  <c r="X11" i="1" s="1"/>
  <c r="U5" i="1"/>
  <c r="G22" i="1"/>
  <c r="G9" i="1"/>
  <c r="G10" i="1"/>
  <c r="G24" i="1" l="1"/>
  <c r="U6" i="1"/>
  <c r="U7" i="1" s="1"/>
  <c r="U8" i="1" s="1"/>
  <c r="U9" i="1" s="1"/>
  <c r="U10" i="1" s="1"/>
  <c r="U11" i="1" s="1"/>
  <c r="R5" i="1"/>
  <c r="G11" i="1"/>
  <c r="G12" i="1" l="1"/>
  <c r="R6" i="1"/>
  <c r="O5" i="1"/>
  <c r="AA11" i="1" l="1"/>
  <c r="R7" i="1"/>
  <c r="R8" i="1" s="1"/>
  <c r="R9" i="1" s="1"/>
  <c r="R10" i="1" s="1"/>
  <c r="R11" i="1" s="1"/>
  <c r="O6" i="1"/>
  <c r="O7" i="1" s="1"/>
  <c r="O8" i="1" s="1"/>
  <c r="O9" i="1" s="1"/>
  <c r="O10" i="1" s="1"/>
  <c r="O11" i="1" s="1"/>
  <c r="L5" i="1" l="1"/>
  <c r="L6" i="1" l="1"/>
  <c r="D28" i="1"/>
  <c r="D16" i="1"/>
  <c r="L7" i="1" l="1"/>
  <c r="L8" i="1" s="1"/>
  <c r="L9" i="1" s="1"/>
  <c r="L10" i="1" s="1"/>
  <c r="L11" i="1" s="1"/>
  <c r="J2" i="1"/>
  <c r="L2" i="1"/>
  <c r="M2" i="1"/>
  <c r="O2" i="1"/>
  <c r="P2" i="1"/>
  <c r="R2" i="1"/>
  <c r="S2" i="1"/>
  <c r="U2" i="1"/>
  <c r="V2" i="1"/>
  <c r="X2" i="1"/>
  <c r="Y2" i="1"/>
  <c r="AA2" i="1"/>
  <c r="I2" i="1"/>
  <c r="AB31" i="1"/>
  <c r="AB34" i="1"/>
  <c r="AB30" i="1"/>
  <c r="AB28" i="1"/>
  <c r="AB32" i="1"/>
  <c r="AB35" i="1"/>
  <c r="AB29" i="1"/>
  <c r="AB33" i="1"/>
  <c r="Y32" i="1"/>
  <c r="Y33" i="1"/>
  <c r="Y34" i="1"/>
  <c r="Y35" i="1"/>
  <c r="Y29" i="1"/>
  <c r="Y28" i="1"/>
  <c r="Y31" i="1"/>
  <c r="Y30" i="1"/>
  <c r="V35" i="1"/>
  <c r="V33" i="1"/>
  <c r="V31" i="1"/>
  <c r="V30" i="1"/>
  <c r="V32" i="1"/>
  <c r="V34" i="1"/>
  <c r="V28" i="1"/>
  <c r="V29" i="1"/>
  <c r="S32" i="1"/>
  <c r="S34" i="1"/>
  <c r="S29" i="1"/>
  <c r="S31" i="1"/>
  <c r="S35" i="1"/>
  <c r="S30" i="1"/>
  <c r="S33" i="1"/>
  <c r="S28" i="1"/>
  <c r="P31" i="1"/>
  <c r="P28" i="1"/>
  <c r="P30" i="1"/>
  <c r="P34" i="1"/>
  <c r="P35" i="1"/>
  <c r="P32" i="1"/>
  <c r="P33" i="1"/>
  <c r="P29" i="1"/>
  <c r="M28" i="1"/>
  <c r="M33" i="1"/>
  <c r="M34" i="1"/>
  <c r="M35" i="1"/>
  <c r="M31" i="1"/>
  <c r="M29" i="1"/>
  <c r="M30" i="1"/>
  <c r="M32" i="1"/>
  <c r="J33" i="1"/>
  <c r="J32" i="1"/>
  <c r="J30" i="1"/>
  <c r="J31" i="1"/>
  <c r="J29" i="1"/>
  <c r="J35" i="1"/>
  <c r="J28" i="1"/>
  <c r="J34" i="1"/>
  <c r="AB16" i="1"/>
  <c r="AB18" i="1"/>
  <c r="AB19" i="1"/>
  <c r="AB20" i="1"/>
  <c r="AB22" i="1"/>
  <c r="AB17" i="1"/>
  <c r="AB21" i="1"/>
  <c r="Y18" i="1"/>
  <c r="Y19" i="1"/>
  <c r="Y21" i="1"/>
  <c r="Y16" i="1"/>
  <c r="Y20" i="1"/>
  <c r="Y17" i="1"/>
  <c r="Y22" i="1"/>
  <c r="V16" i="1"/>
  <c r="V20" i="1"/>
  <c r="V17" i="1"/>
  <c r="V21" i="1"/>
  <c r="V19" i="1"/>
  <c r="V22" i="1"/>
  <c r="V18" i="1"/>
  <c r="S19" i="1"/>
  <c r="S21" i="1"/>
  <c r="S22" i="1"/>
  <c r="S20" i="1"/>
  <c r="S18" i="1"/>
  <c r="S17" i="1"/>
  <c r="S16" i="1"/>
  <c r="P20" i="1"/>
  <c r="P17" i="1"/>
  <c r="P22" i="1"/>
  <c r="P19" i="1"/>
  <c r="P16" i="1"/>
  <c r="P18" i="1"/>
  <c r="P21" i="1"/>
  <c r="M18" i="1"/>
  <c r="M16" i="1"/>
  <c r="M21" i="1"/>
  <c r="M20" i="1"/>
  <c r="M17" i="1"/>
  <c r="M19" i="1"/>
  <c r="M22" i="1"/>
  <c r="J22" i="1"/>
  <c r="J17" i="1"/>
  <c r="J18" i="1"/>
  <c r="J16" i="1"/>
  <c r="J19" i="1"/>
  <c r="J20" i="1"/>
  <c r="J21" i="1"/>
  <c r="AB5" i="1"/>
  <c r="AB7" i="1"/>
  <c r="AB8" i="1"/>
  <c r="AB4" i="1"/>
  <c r="AB11" i="1"/>
  <c r="AB10" i="1"/>
  <c r="AB6" i="1"/>
  <c r="AB9" i="1"/>
  <c r="Y8" i="1"/>
  <c r="Y11" i="1"/>
  <c r="Y10" i="1"/>
  <c r="Y7" i="1"/>
  <c r="Y9" i="1"/>
  <c r="Y4" i="1"/>
  <c r="Y5" i="1"/>
  <c r="Y6" i="1"/>
  <c r="V11" i="1"/>
  <c r="V8" i="1"/>
  <c r="V6" i="1"/>
  <c r="V7" i="1"/>
  <c r="V9" i="1"/>
  <c r="V10" i="1"/>
  <c r="V4" i="1"/>
  <c r="V5" i="1"/>
  <c r="S9" i="1"/>
  <c r="S6" i="1"/>
  <c r="S10" i="1"/>
  <c r="S11" i="1"/>
  <c r="S5" i="1"/>
  <c r="S7" i="1"/>
  <c r="S8" i="1"/>
  <c r="S4" i="1"/>
  <c r="P8" i="1"/>
  <c r="P4" i="1"/>
  <c r="P7" i="1"/>
  <c r="P9" i="1"/>
  <c r="P5" i="1"/>
  <c r="P10" i="1"/>
  <c r="P6" i="1"/>
  <c r="P11" i="1"/>
  <c r="M6" i="1"/>
  <c r="M5" i="1"/>
  <c r="M10" i="1"/>
  <c r="M7" i="1"/>
  <c r="M4" i="1"/>
  <c r="J7" i="1"/>
  <c r="J9" i="1"/>
  <c r="J5" i="1"/>
  <c r="J6" i="1"/>
  <c r="J8" i="1"/>
  <c r="J11" i="1"/>
  <c r="J10" i="1"/>
  <c r="J4" i="1"/>
  <c r="D4" i="1"/>
  <c r="V36" i="1" l="1"/>
  <c r="P36" i="1"/>
  <c r="Y36" i="1"/>
  <c r="Y24" i="1"/>
  <c r="M36" i="1"/>
  <c r="AB36" i="1"/>
  <c r="AB24" i="1"/>
  <c r="J36" i="1"/>
  <c r="S36" i="1"/>
  <c r="V24" i="1"/>
  <c r="V12" i="1"/>
  <c r="P24" i="1"/>
  <c r="P12" i="1"/>
  <c r="Y12" i="1"/>
  <c r="M24" i="1"/>
  <c r="AB12" i="1"/>
  <c r="J24" i="1"/>
  <c r="J12" i="1"/>
  <c r="S24" i="1"/>
  <c r="S12" i="1"/>
  <c r="C29" i="2"/>
  <c r="D29" i="2"/>
  <c r="M8" i="1"/>
  <c r="C30" i="2" l="1"/>
  <c r="D30" i="2"/>
  <c r="M9" i="1"/>
  <c r="C31" i="2" l="1"/>
  <c r="D31" i="2"/>
  <c r="M11" i="1"/>
  <c r="M12" i="1" l="1"/>
  <c r="C32" i="2"/>
  <c r="D32" i="2"/>
  <c r="C33" i="2" l="1"/>
  <c r="D33" i="2"/>
  <c r="C34" i="2" l="1"/>
  <c r="D34" i="2"/>
  <c r="C35" i="2" l="1"/>
  <c r="D35" i="2"/>
  <c r="D36" i="2" l="1"/>
  <c r="C17" i="2"/>
  <c r="D17" i="2"/>
  <c r="C18" i="2" l="1"/>
  <c r="D18" i="2"/>
  <c r="C19" i="2" l="1"/>
  <c r="D19" i="2"/>
  <c r="C20" i="2" l="1"/>
  <c r="D20" i="2"/>
  <c r="C21" i="2" l="1"/>
  <c r="D21" i="2"/>
  <c r="C22" i="2" l="1"/>
  <c r="D22" i="2"/>
  <c r="D24" i="2" l="1"/>
  <c r="C5" i="2"/>
  <c r="D5" i="2"/>
  <c r="C6" i="2" l="1"/>
  <c r="C29" i="1"/>
  <c r="C30" i="1" s="1"/>
  <c r="C31" i="1" s="1"/>
  <c r="D6" i="2"/>
  <c r="D30" i="1"/>
  <c r="D29" i="1"/>
  <c r="D31" i="1"/>
  <c r="C32" i="1" l="1"/>
  <c r="C7" i="2"/>
  <c r="C17" i="1"/>
  <c r="C5" i="1"/>
  <c r="C6" i="1" s="1"/>
  <c r="D7" i="2"/>
  <c r="D32" i="1"/>
  <c r="D17" i="1"/>
  <c r="D6" i="1"/>
  <c r="D5" i="1"/>
  <c r="C33" i="1" l="1"/>
  <c r="C18" i="1"/>
  <c r="C19" i="1" s="1"/>
  <c r="C8" i="2"/>
  <c r="C7" i="1"/>
  <c r="D8" i="2"/>
  <c r="D33" i="1"/>
  <c r="D19" i="1"/>
  <c r="D18" i="1"/>
  <c r="D7" i="1"/>
  <c r="C34" i="1" l="1"/>
  <c r="C9" i="2"/>
  <c r="C20" i="1"/>
  <c r="C8" i="1"/>
  <c r="D9" i="2"/>
  <c r="D34" i="1"/>
  <c r="D20" i="1"/>
  <c r="D8" i="1"/>
  <c r="C10" i="2" l="1"/>
  <c r="C35" i="1"/>
  <c r="C21" i="1"/>
  <c r="C9" i="1"/>
  <c r="C10" i="1" s="1"/>
  <c r="D10" i="2"/>
  <c r="D35" i="1"/>
  <c r="D21" i="1"/>
  <c r="D9" i="1"/>
  <c r="D10" i="1"/>
  <c r="C11" i="2" l="1"/>
  <c r="C22" i="1"/>
  <c r="C11" i="1"/>
  <c r="D11" i="2"/>
  <c r="D22" i="1"/>
  <c r="D11" i="1"/>
  <c r="D12" i="2" l="1"/>
  <c r="D12" i="1"/>
  <c r="D24" i="1"/>
  <c r="D36" i="1" l="1"/>
</calcChain>
</file>

<file path=xl/sharedStrings.xml><?xml version="1.0" encoding="utf-8"?>
<sst xmlns="http://schemas.openxmlformats.org/spreadsheetml/2006/main" count="78" uniqueCount="61">
  <si>
    <t>span</t>
  </si>
  <si>
    <t>class A loading</t>
  </si>
  <si>
    <t>KN</t>
  </si>
  <si>
    <t>class 70R loading</t>
  </si>
  <si>
    <t>bending moments</t>
  </si>
  <si>
    <t>class 70RT LOADING udl -pl converted</t>
  </si>
  <si>
    <t>position of first wheel</t>
  </si>
  <si>
    <t>position (code)</t>
  </si>
  <si>
    <t xml:space="preserve">b.m. calc positions </t>
  </si>
  <si>
    <t>class a</t>
  </si>
  <si>
    <t>class 70rw</t>
  </si>
  <si>
    <t>class 70rt</t>
  </si>
  <si>
    <t>bm @</t>
  </si>
  <si>
    <t xml:space="preserve"> </t>
  </si>
  <si>
    <t>B.M. CALCULATING  POSITIONS</t>
  </si>
  <si>
    <t>`</t>
  </si>
  <si>
    <t>sfmax @</t>
  </si>
  <si>
    <t>class A</t>
  </si>
  <si>
    <t>sfmin @</t>
  </si>
  <si>
    <t>IMPACT FACTOR</t>
  </si>
  <si>
    <t>class 70rw loading</t>
  </si>
  <si>
    <t>class 7ort loading</t>
  </si>
  <si>
    <t>1.95m</t>
  </si>
  <si>
    <t>.25m</t>
  </si>
  <si>
    <t>2.5m</t>
  </si>
  <si>
    <t xml:space="preserve">FOR DEAD LOAD </t>
  </si>
  <si>
    <t>CROSS SECTION AREA</t>
  </si>
  <si>
    <t>UNIT WEIGHT</t>
  </si>
  <si>
    <t>TOTAL WIDTH</t>
  </si>
  <si>
    <t xml:space="preserve">BM= </t>
  </si>
  <si>
    <t>BM @</t>
  </si>
  <si>
    <t>concrete(fck)</t>
  </si>
  <si>
    <t>Esteel</t>
  </si>
  <si>
    <t>steelLs</t>
  </si>
  <si>
    <t>N/mm2</t>
  </si>
  <si>
    <t>GPA</t>
  </si>
  <si>
    <t>(limiting strain)</t>
  </si>
  <si>
    <t>DESIGN BENDING MOMENT</t>
  </si>
  <si>
    <t>BM DUE TO</t>
  </si>
  <si>
    <t>DEAD LOAD</t>
  </si>
  <si>
    <t>VEHICLE MOVEMENT</t>
  </si>
  <si>
    <t>FACTOR</t>
  </si>
  <si>
    <t>DESIGN BM LIVE LOADS</t>
  </si>
  <si>
    <t>total bending moment</t>
  </si>
  <si>
    <t>KN-M</t>
  </si>
  <si>
    <t>cover</t>
  </si>
  <si>
    <t>m</t>
  </si>
  <si>
    <t xml:space="preserve">Total depth </t>
  </si>
  <si>
    <t>SteelF(Fst)</t>
  </si>
  <si>
    <t>Total deck width</t>
  </si>
  <si>
    <t>Total web width</t>
  </si>
  <si>
    <t>No.s of girders</t>
  </si>
  <si>
    <t>Top slab thickness</t>
  </si>
  <si>
    <t>nos.</t>
  </si>
  <si>
    <t>Cst</t>
  </si>
  <si>
    <t>Csb</t>
  </si>
  <si>
    <t>Ast</t>
  </si>
  <si>
    <t>Mulim</t>
  </si>
  <si>
    <t>Dia</t>
  </si>
  <si>
    <t>No.s</t>
  </si>
  <si>
    <t>class 70RT LOADING udl to pl converted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</si>
</sst>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2" fillId="0" borderId="0" xfId="0" applyFont="1"/>
    <xf numFmtId="0" fontId="3" fillId="0" borderId="0" xfId="0" applyFont="1"/>
    <xf numFmtId="0" fontId="1" fillId="5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5" fillId="0" borderId="0" xfId="0" applyFont="1"/>
    <xf numFmtId="0" fontId="0" fillId="0" borderId="0" xfId="0" applyAlignment="1">
      <alignment horizontal="left"/>
    </xf>
    <xf numFmtId="0" fontId="1" fillId="0" borderId="0" xfId="0" applyFont="1"/>
    <xf numFmtId="0" fontId="6" fillId="0" borderId="1" xfId="1" applyBorder="1" applyAlignment="1" applyProtection="1"/>
    <xf numFmtId="0" fontId="0" fillId="0" borderId="10" xfId="0" applyFill="1" applyBorder="1"/>
    <xf numFmtId="0" fontId="1" fillId="0" borderId="1" xfId="0" applyFont="1" applyBorder="1"/>
    <xf numFmtId="0" fontId="0" fillId="2" borderId="11" xfId="0" applyFill="1" applyBorder="1"/>
    <xf numFmtId="0" fontId="2" fillId="0" borderId="1" xfId="0" applyFont="1" applyBorder="1"/>
    <xf numFmtId="0" fontId="4" fillId="0" borderId="1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69021</xdr:colOff>
      <xdr:row>1</xdr:row>
      <xdr:rowOff>138042</xdr:rowOff>
    </xdr:from>
    <xdr:to>
      <xdr:col>7</xdr:col>
      <xdr:colOff>1106580</xdr:colOff>
      <xdr:row>3</xdr:row>
      <xdr:rowOff>98051</xdr:rowOff>
    </xdr:to>
    <xdr:sp macro="[0]!moveveh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14352" y="334145"/>
          <a:ext cx="1037559" cy="52030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MOVE</a:t>
          </a:r>
          <a:r>
            <a:rPr lang="en-US" sz="1100" b="1" baseline="0">
              <a:solidFill>
                <a:schemeClr val="bg1"/>
              </a:solidFill>
            </a:rPr>
            <a:t> VEHICLE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598030</xdr:colOff>
      <xdr:row>11</xdr:row>
      <xdr:rowOff>168968</xdr:rowOff>
    </xdr:from>
    <xdr:to>
      <xdr:col>8</xdr:col>
      <xdr:colOff>296264</xdr:colOff>
      <xdr:row>14</xdr:row>
      <xdr:rowOff>67944</xdr:rowOff>
    </xdr:to>
    <xdr:sp macro="[0]!movevehsf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81934" y="2480653"/>
          <a:ext cx="918291" cy="47689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/>
            <a:t>MOVE</a:t>
          </a:r>
          <a:r>
            <a:rPr lang="en-US" sz="1100" b="1" baseline="0"/>
            <a:t> VEHICLE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809625</xdr:colOff>
      <xdr:row>23</xdr:row>
      <xdr:rowOff>38100</xdr:rowOff>
    </xdr:from>
    <xdr:to>
      <xdr:col>8</xdr:col>
      <xdr:colOff>76200</xdr:colOff>
      <xdr:row>23</xdr:row>
      <xdr:rowOff>57150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419225" y="4724400"/>
          <a:ext cx="4362450" cy="19050"/>
        </a:xfrm>
        <a:prstGeom prst="line">
          <a:avLst/>
        </a:prstGeom>
        <a:ln w="2540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1362075</xdr:colOff>
      <xdr:row>23</xdr:row>
      <xdr:rowOff>47624</xdr:rowOff>
    </xdr:from>
    <xdr:to>
      <xdr:col>4</xdr:col>
      <xdr:colOff>285750</xdr:colOff>
      <xdr:row>29</xdr:row>
      <xdr:rowOff>38099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971675" y="4733924"/>
          <a:ext cx="1581150" cy="1133475"/>
        </a:xfrm>
        <a:prstGeom prst="rect">
          <a:avLst/>
        </a:prstGeom>
        <a:noFill/>
        <a:ln w="1905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4</xdr:col>
      <xdr:colOff>466725</xdr:colOff>
      <xdr:row>23</xdr:row>
      <xdr:rowOff>57150</xdr:rowOff>
    </xdr:from>
    <xdr:to>
      <xdr:col>7</xdr:col>
      <xdr:colOff>219075</xdr:colOff>
      <xdr:row>29</xdr:row>
      <xdr:rowOff>47625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733800" y="4743450"/>
          <a:ext cx="1581150" cy="1133475"/>
        </a:xfrm>
        <a:prstGeom prst="rect">
          <a:avLst/>
        </a:prstGeom>
        <a:noFill/>
        <a:ln w="1905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2</xdr:col>
      <xdr:colOff>47625</xdr:colOff>
      <xdr:row>58</xdr:row>
      <xdr:rowOff>180975</xdr:rowOff>
    </xdr:from>
    <xdr:to>
      <xdr:col>2</xdr:col>
      <xdr:colOff>962025</xdr:colOff>
      <xdr:row>60</xdr:row>
      <xdr:rowOff>114300</xdr:rowOff>
    </xdr:to>
    <xdr:sp macro="[0]!Module2.findmuli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95500" y="11534775"/>
          <a:ext cx="914400" cy="3143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ANALYSIS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BM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6"/>
  <sheetViews>
    <sheetView tabSelected="1" topLeftCell="A7" zoomScale="68" zoomScaleNormal="68" workbookViewId="0">
      <selection activeCell="A27" sqref="A27:B35"/>
    </sheetView>
  </sheetViews>
  <sheetFormatPr defaultRowHeight="15" x14ac:dyDescent="0.25"/>
  <cols>
    <col min="4" max="4" width="16" customWidth="1"/>
    <col min="7" max="7" width="33" customWidth="1"/>
    <col min="8" max="8" width="17" customWidth="1"/>
  </cols>
  <sheetData>
    <row r="1" spans="1:29" x14ac:dyDescent="0.25">
      <c r="A1" t="s">
        <v>0</v>
      </c>
      <c r="B1">
        <v>28</v>
      </c>
      <c r="F1">
        <v>1</v>
      </c>
      <c r="I1">
        <v>2</v>
      </c>
      <c r="L1">
        <v>3</v>
      </c>
      <c r="O1">
        <v>4</v>
      </c>
      <c r="R1">
        <v>5</v>
      </c>
      <c r="U1">
        <v>6</v>
      </c>
      <c r="X1">
        <v>7</v>
      </c>
      <c r="AA1">
        <v>8</v>
      </c>
    </row>
    <row r="2" spans="1:29" ht="28.5" x14ac:dyDescent="0.45">
      <c r="A2" s="8" t="s">
        <v>1</v>
      </c>
      <c r="B2" s="9"/>
      <c r="F2">
        <v>3.5</v>
      </c>
      <c r="G2" s="10" t="s">
        <v>14</v>
      </c>
      <c r="H2" s="4"/>
      <c r="I2">
        <f>span/8*I1</f>
        <v>7</v>
      </c>
      <c r="J2">
        <f>span/8*J1</f>
        <v>0</v>
      </c>
      <c r="L2">
        <f>span/8*L1</f>
        <v>10.5</v>
      </c>
      <c r="M2">
        <f>span/8*M1</f>
        <v>0</v>
      </c>
      <c r="O2">
        <f>span/8*O1</f>
        <v>14</v>
      </c>
      <c r="P2">
        <f>span/8*P1</f>
        <v>0</v>
      </c>
      <c r="R2">
        <f>span/8*R1</f>
        <v>17.5</v>
      </c>
      <c r="S2">
        <f>span/8*S1</f>
        <v>0</v>
      </c>
      <c r="U2">
        <f>span/8*U1</f>
        <v>21</v>
      </c>
      <c r="V2">
        <f>span/8*V1</f>
        <v>0</v>
      </c>
      <c r="X2">
        <f>span/8*X1</f>
        <v>24.5</v>
      </c>
      <c r="Y2">
        <f>span/8*Y1</f>
        <v>0</v>
      </c>
      <c r="AA2">
        <f>span/8*AA1</f>
        <v>28</v>
      </c>
    </row>
    <row r="3" spans="1:29" x14ac:dyDescent="0.25">
      <c r="A3" t="s">
        <v>2</v>
      </c>
      <c r="D3" t="s">
        <v>4</v>
      </c>
    </row>
    <row r="4" spans="1:29" x14ac:dyDescent="0.25">
      <c r="A4" s="5">
        <v>27</v>
      </c>
      <c r="B4" s="5">
        <v>0</v>
      </c>
      <c r="C4" s="7">
        <v>46</v>
      </c>
      <c r="D4" s="6">
        <f t="shared" ref="D4:D11" si="0">FINDBM(span,C4,0)*A4</f>
        <v>0</v>
      </c>
      <c r="F4" s="6">
        <v>46</v>
      </c>
      <c r="G4" s="6">
        <f t="shared" ref="G4:G11" si="1">FINDBM(span,F4,F$2)*$A4</f>
        <v>0</v>
      </c>
      <c r="H4" s="4"/>
      <c r="I4" s="6">
        <v>46</v>
      </c>
      <c r="J4" s="6">
        <f t="shared" ref="J4:J11" si="2">FINDBM(span,I4,I$2)*$A4</f>
        <v>0</v>
      </c>
      <c r="K4" s="4"/>
      <c r="L4" s="6">
        <v>46</v>
      </c>
      <c r="M4" s="6">
        <f t="shared" ref="M4:M11" si="3">FINDBM(span,L4,L$2)*$A4</f>
        <v>0</v>
      </c>
      <c r="N4" s="4"/>
      <c r="O4" s="6">
        <v>46</v>
      </c>
      <c r="P4" s="6">
        <f t="shared" ref="P4:P11" si="4">FINDBM(span,O4,O$2)*$A4</f>
        <v>0</v>
      </c>
      <c r="Q4" s="4"/>
      <c r="R4" s="6">
        <v>46</v>
      </c>
      <c r="S4" s="6">
        <f t="shared" ref="S4:S11" si="5">FINDBM(span,R4,R$2)*$A4</f>
        <v>0</v>
      </c>
      <c r="T4" s="4"/>
      <c r="U4" s="6">
        <v>46</v>
      </c>
      <c r="V4" s="6">
        <f t="shared" ref="V4:V11" si="6">FINDBM(span,U4,U$2)*$A4</f>
        <v>0</v>
      </c>
      <c r="W4" s="4"/>
      <c r="X4" s="6">
        <v>46</v>
      </c>
      <c r="Y4" s="6">
        <f t="shared" ref="Y4:Y11" si="7">FINDBM(span,X4,X$2)*$A4</f>
        <v>0</v>
      </c>
      <c r="Z4" s="4"/>
      <c r="AA4" s="2">
        <v>46</v>
      </c>
      <c r="AB4" s="2">
        <f t="shared" ref="AB4:AB11" si="8">FINDBM(span,AA4,AA$2)*$A4</f>
        <v>0</v>
      </c>
    </row>
    <row r="5" spans="1:29" x14ac:dyDescent="0.25">
      <c r="A5" s="5">
        <v>27</v>
      </c>
      <c r="B5" s="5">
        <v>1.1000000000000001</v>
      </c>
      <c r="C5" s="6">
        <f>C4-B5</f>
        <v>44.9</v>
      </c>
      <c r="D5" s="6">
        <f t="shared" si="0"/>
        <v>0</v>
      </c>
      <c r="F5" s="6">
        <f>F4-$B5</f>
        <v>44.9</v>
      </c>
      <c r="G5" s="6">
        <f t="shared" si="1"/>
        <v>0</v>
      </c>
      <c r="H5" s="4"/>
      <c r="I5" s="6">
        <f>I4-$B5</f>
        <v>44.9</v>
      </c>
      <c r="J5" s="6">
        <f t="shared" si="2"/>
        <v>0</v>
      </c>
      <c r="K5" s="4"/>
      <c r="L5" s="6">
        <f>L4-$B5</f>
        <v>44.9</v>
      </c>
      <c r="M5" s="6">
        <f t="shared" si="3"/>
        <v>0</v>
      </c>
      <c r="N5" s="4"/>
      <c r="O5" s="6">
        <f>O4-$B5</f>
        <v>44.9</v>
      </c>
      <c r="P5" s="6">
        <f t="shared" si="4"/>
        <v>0</v>
      </c>
      <c r="Q5" s="4"/>
      <c r="R5" s="6">
        <f>R4-$B5</f>
        <v>44.9</v>
      </c>
      <c r="S5" s="6">
        <f t="shared" si="5"/>
        <v>0</v>
      </c>
      <c r="T5" s="4"/>
      <c r="U5" s="6">
        <f>U4-$B5</f>
        <v>44.9</v>
      </c>
      <c r="V5" s="6">
        <f t="shared" si="6"/>
        <v>0</v>
      </c>
      <c r="W5" s="4"/>
      <c r="X5" s="6">
        <f>X4-$B5</f>
        <v>44.9</v>
      </c>
      <c r="Y5" s="6">
        <f t="shared" si="7"/>
        <v>0</v>
      </c>
      <c r="Z5" s="4"/>
      <c r="AA5" s="2">
        <f>AA4-$B5</f>
        <v>44.9</v>
      </c>
      <c r="AB5" s="2">
        <f t="shared" si="8"/>
        <v>0</v>
      </c>
    </row>
    <row r="6" spans="1:29" x14ac:dyDescent="0.25">
      <c r="A6" s="5">
        <v>114</v>
      </c>
      <c r="B6" s="5">
        <v>3.2</v>
      </c>
      <c r="C6" s="6">
        <f t="shared" ref="C6:C10" si="9">C5-B6</f>
        <v>41.699999999999996</v>
      </c>
      <c r="D6" s="6">
        <f t="shared" si="0"/>
        <v>0</v>
      </c>
      <c r="F6" s="6">
        <f t="shared" ref="F6:F11" si="10">F5-$B6</f>
        <v>41.699999999999996</v>
      </c>
      <c r="G6" s="6">
        <f t="shared" si="1"/>
        <v>0</v>
      </c>
      <c r="H6" s="4"/>
      <c r="I6" s="6">
        <f t="shared" ref="I6:I12" si="11">I5-$B6</f>
        <v>41.699999999999996</v>
      </c>
      <c r="J6" s="6">
        <f t="shared" si="2"/>
        <v>0</v>
      </c>
      <c r="K6" s="4"/>
      <c r="L6" s="6">
        <f t="shared" ref="L6:L11" si="12">L5-$B6</f>
        <v>41.699999999999996</v>
      </c>
      <c r="M6" s="6">
        <f t="shared" si="3"/>
        <v>0</v>
      </c>
      <c r="N6" s="4"/>
      <c r="O6" s="6">
        <f t="shared" ref="O6:O11" si="13">O5-$B6</f>
        <v>41.699999999999996</v>
      </c>
      <c r="P6" s="6">
        <f t="shared" si="4"/>
        <v>0</v>
      </c>
      <c r="Q6" s="4"/>
      <c r="R6" s="6">
        <f t="shared" ref="R6:R11" si="14">R5-$B6</f>
        <v>41.699999999999996</v>
      </c>
      <c r="S6" s="6">
        <f t="shared" si="5"/>
        <v>0</v>
      </c>
      <c r="T6" s="4"/>
      <c r="U6" s="6">
        <f t="shared" ref="U6:U11" si="15">U5-$B6</f>
        <v>41.699999999999996</v>
      </c>
      <c r="V6" s="6">
        <f t="shared" si="6"/>
        <v>0</v>
      </c>
      <c r="W6" s="4"/>
      <c r="X6" s="6">
        <f t="shared" ref="X6:X11" si="16">X5-$B6</f>
        <v>41.699999999999996</v>
      </c>
      <c r="Y6" s="6">
        <f t="shared" si="7"/>
        <v>0</v>
      </c>
      <c r="Z6" s="4"/>
      <c r="AA6" s="2">
        <f t="shared" ref="AA6:AA10" si="17">AA5-$B6</f>
        <v>41.699999999999996</v>
      </c>
      <c r="AB6" s="2">
        <f t="shared" si="8"/>
        <v>0</v>
      </c>
    </row>
    <row r="7" spans="1:29" x14ac:dyDescent="0.25">
      <c r="A7" s="5">
        <v>114</v>
      </c>
      <c r="B7" s="5">
        <v>1.2</v>
      </c>
      <c r="C7" s="6">
        <f t="shared" si="9"/>
        <v>40.499999999999993</v>
      </c>
      <c r="D7" s="6">
        <f t="shared" si="0"/>
        <v>0</v>
      </c>
      <c r="F7" s="6">
        <f t="shared" si="10"/>
        <v>40.499999999999993</v>
      </c>
      <c r="G7" s="6">
        <f t="shared" si="1"/>
        <v>0</v>
      </c>
      <c r="H7" s="4"/>
      <c r="I7" s="6">
        <f t="shared" si="11"/>
        <v>40.499999999999993</v>
      </c>
      <c r="J7" s="6">
        <f t="shared" si="2"/>
        <v>0</v>
      </c>
      <c r="K7" s="4"/>
      <c r="L7" s="6">
        <f t="shared" si="12"/>
        <v>40.499999999999993</v>
      </c>
      <c r="M7" s="6">
        <f t="shared" si="3"/>
        <v>0</v>
      </c>
      <c r="N7" s="4"/>
      <c r="O7" s="6">
        <f t="shared" si="13"/>
        <v>40.499999999999993</v>
      </c>
      <c r="P7" s="6">
        <f t="shared" si="4"/>
        <v>0</v>
      </c>
      <c r="Q7" s="4"/>
      <c r="R7" s="6">
        <f t="shared" si="14"/>
        <v>40.499999999999993</v>
      </c>
      <c r="S7" s="6">
        <f t="shared" si="5"/>
        <v>0</v>
      </c>
      <c r="T7" s="4"/>
      <c r="U7" s="6">
        <f t="shared" si="15"/>
        <v>40.499999999999993</v>
      </c>
      <c r="V7" s="6">
        <f t="shared" si="6"/>
        <v>0</v>
      </c>
      <c r="W7" s="4"/>
      <c r="X7" s="6">
        <f t="shared" si="16"/>
        <v>40.499999999999993</v>
      </c>
      <c r="Y7" s="6">
        <f t="shared" si="7"/>
        <v>0</v>
      </c>
      <c r="Z7" s="4"/>
      <c r="AA7" s="2">
        <f t="shared" si="17"/>
        <v>40.499999999999993</v>
      </c>
      <c r="AB7" s="2">
        <f t="shared" si="8"/>
        <v>0</v>
      </c>
    </row>
    <row r="8" spans="1:29" x14ac:dyDescent="0.25">
      <c r="A8" s="5">
        <v>68</v>
      </c>
      <c r="B8" s="5">
        <v>4.3</v>
      </c>
      <c r="C8" s="6">
        <f t="shared" si="9"/>
        <v>36.199999999999996</v>
      </c>
      <c r="D8" s="6">
        <f t="shared" si="0"/>
        <v>0</v>
      </c>
      <c r="F8" s="6">
        <f t="shared" si="10"/>
        <v>36.199999999999996</v>
      </c>
      <c r="G8" s="6">
        <f t="shared" si="1"/>
        <v>0</v>
      </c>
      <c r="H8" s="4"/>
      <c r="I8" s="6">
        <f t="shared" si="11"/>
        <v>36.199999999999996</v>
      </c>
      <c r="J8" s="6">
        <f t="shared" si="2"/>
        <v>0</v>
      </c>
      <c r="K8" s="4"/>
      <c r="L8" s="6">
        <f t="shared" si="12"/>
        <v>36.199999999999996</v>
      </c>
      <c r="M8" s="6">
        <f t="shared" si="3"/>
        <v>0</v>
      </c>
      <c r="N8" s="4"/>
      <c r="O8" s="6">
        <f t="shared" si="13"/>
        <v>36.199999999999996</v>
      </c>
      <c r="P8" s="6">
        <f t="shared" si="4"/>
        <v>0</v>
      </c>
      <c r="Q8" s="4"/>
      <c r="R8" s="6">
        <f t="shared" si="14"/>
        <v>36.199999999999996</v>
      </c>
      <c r="S8" s="6">
        <f t="shared" si="5"/>
        <v>0</v>
      </c>
      <c r="T8" s="4"/>
      <c r="U8" s="6">
        <f t="shared" si="15"/>
        <v>36.199999999999996</v>
      </c>
      <c r="V8" s="6">
        <f t="shared" si="6"/>
        <v>0</v>
      </c>
      <c r="W8" s="4"/>
      <c r="X8" s="6">
        <f t="shared" si="16"/>
        <v>36.199999999999996</v>
      </c>
      <c r="Y8" s="6">
        <f t="shared" si="7"/>
        <v>0</v>
      </c>
      <c r="Z8" s="4"/>
      <c r="AA8" s="2">
        <f t="shared" si="17"/>
        <v>36.199999999999996</v>
      </c>
      <c r="AB8" s="2">
        <f t="shared" si="8"/>
        <v>0</v>
      </c>
    </row>
    <row r="9" spans="1:29" x14ac:dyDescent="0.25">
      <c r="A9" s="5">
        <v>68</v>
      </c>
      <c r="B9" s="5">
        <v>3</v>
      </c>
      <c r="C9" s="6">
        <f t="shared" si="9"/>
        <v>33.199999999999996</v>
      </c>
      <c r="D9" s="6">
        <f t="shared" si="0"/>
        <v>0</v>
      </c>
      <c r="F9" s="6">
        <f t="shared" si="10"/>
        <v>33.199999999999996</v>
      </c>
      <c r="G9" s="6">
        <f t="shared" si="1"/>
        <v>0</v>
      </c>
      <c r="H9" s="4"/>
      <c r="I9" s="6">
        <f t="shared" si="11"/>
        <v>33.199999999999996</v>
      </c>
      <c r="J9" s="6">
        <f t="shared" si="2"/>
        <v>0</v>
      </c>
      <c r="K9" s="4"/>
      <c r="L9" s="6">
        <f t="shared" si="12"/>
        <v>33.199999999999996</v>
      </c>
      <c r="M9" s="6">
        <f t="shared" si="3"/>
        <v>0</v>
      </c>
      <c r="N9" s="4"/>
      <c r="O9" s="6">
        <f t="shared" si="13"/>
        <v>33.199999999999996</v>
      </c>
      <c r="P9" s="6">
        <f t="shared" si="4"/>
        <v>0</v>
      </c>
      <c r="Q9" s="4"/>
      <c r="R9" s="6">
        <f t="shared" si="14"/>
        <v>33.199999999999996</v>
      </c>
      <c r="S9" s="6">
        <f t="shared" si="5"/>
        <v>0</v>
      </c>
      <c r="T9" s="4"/>
      <c r="U9" s="6">
        <f t="shared" si="15"/>
        <v>33.199999999999996</v>
      </c>
      <c r="V9" s="6">
        <f t="shared" si="6"/>
        <v>0</v>
      </c>
      <c r="W9" s="4"/>
      <c r="X9" s="6">
        <f t="shared" si="16"/>
        <v>33.199999999999996</v>
      </c>
      <c r="Y9" s="6">
        <f t="shared" si="7"/>
        <v>0</v>
      </c>
      <c r="Z9" s="4"/>
      <c r="AA9" s="2">
        <f t="shared" si="17"/>
        <v>33.199999999999996</v>
      </c>
      <c r="AB9" s="2">
        <f t="shared" si="8"/>
        <v>0</v>
      </c>
    </row>
    <row r="10" spans="1:29" x14ac:dyDescent="0.25">
      <c r="A10" s="5">
        <v>68</v>
      </c>
      <c r="B10" s="5">
        <v>3</v>
      </c>
      <c r="C10" s="6">
        <f t="shared" si="9"/>
        <v>30.199999999999996</v>
      </c>
      <c r="D10" s="6">
        <f t="shared" si="0"/>
        <v>0</v>
      </c>
      <c r="F10" s="6">
        <f t="shared" si="10"/>
        <v>30.199999999999996</v>
      </c>
      <c r="G10" s="6">
        <f t="shared" si="1"/>
        <v>0</v>
      </c>
      <c r="H10" s="4"/>
      <c r="I10" s="6">
        <f t="shared" si="11"/>
        <v>30.199999999999996</v>
      </c>
      <c r="J10" s="6">
        <f t="shared" si="2"/>
        <v>0</v>
      </c>
      <c r="K10" s="4"/>
      <c r="L10" s="6">
        <f t="shared" si="12"/>
        <v>30.199999999999996</v>
      </c>
      <c r="M10" s="6">
        <f t="shared" si="3"/>
        <v>0</v>
      </c>
      <c r="N10" s="4"/>
      <c r="O10" s="6">
        <f t="shared" si="13"/>
        <v>30.199999999999996</v>
      </c>
      <c r="P10" s="6">
        <f t="shared" si="4"/>
        <v>0</v>
      </c>
      <c r="Q10" s="4"/>
      <c r="R10" s="6">
        <f t="shared" si="14"/>
        <v>30.199999999999996</v>
      </c>
      <c r="S10" s="6">
        <f t="shared" si="5"/>
        <v>0</v>
      </c>
      <c r="T10" s="4"/>
      <c r="U10" s="6">
        <f t="shared" si="15"/>
        <v>30.199999999999996</v>
      </c>
      <c r="V10" s="6">
        <f t="shared" si="6"/>
        <v>0</v>
      </c>
      <c r="W10" s="4"/>
      <c r="X10" s="6">
        <f t="shared" si="16"/>
        <v>30.199999999999996</v>
      </c>
      <c r="Y10" s="6">
        <f t="shared" si="7"/>
        <v>0</v>
      </c>
      <c r="Z10" s="4"/>
      <c r="AA10" s="2">
        <f t="shared" si="17"/>
        <v>30.199999999999996</v>
      </c>
      <c r="AB10" s="2">
        <f t="shared" si="8"/>
        <v>0</v>
      </c>
    </row>
    <row r="11" spans="1:29" x14ac:dyDescent="0.25">
      <c r="A11" s="5">
        <v>68</v>
      </c>
      <c r="B11" s="5">
        <v>3</v>
      </c>
      <c r="C11" s="6">
        <f>C9-B11</f>
        <v>30.199999999999996</v>
      </c>
      <c r="D11" s="6">
        <f t="shared" si="0"/>
        <v>0</v>
      </c>
      <c r="F11" s="6">
        <f t="shared" si="10"/>
        <v>27.199999999999996</v>
      </c>
      <c r="G11" s="6">
        <f t="shared" si="1"/>
        <v>6.8000000000000362</v>
      </c>
      <c r="H11" s="4"/>
      <c r="I11" s="6">
        <f>I10-$B11</f>
        <v>27.199999999999996</v>
      </c>
      <c r="J11" s="6">
        <f t="shared" si="2"/>
        <v>13.600000000000072</v>
      </c>
      <c r="K11" s="4"/>
      <c r="L11" s="6">
        <f t="shared" si="12"/>
        <v>27.199999999999996</v>
      </c>
      <c r="M11" s="6">
        <f t="shared" si="3"/>
        <v>20.400000000000109</v>
      </c>
      <c r="N11" s="4"/>
      <c r="O11" s="6">
        <f t="shared" si="13"/>
        <v>27.199999999999996</v>
      </c>
      <c r="P11" s="6">
        <f t="shared" si="4"/>
        <v>27.200000000000145</v>
      </c>
      <c r="Q11" s="4"/>
      <c r="R11" s="6">
        <f t="shared" si="14"/>
        <v>27.199999999999996</v>
      </c>
      <c r="S11" s="6">
        <f t="shared" si="5"/>
        <v>34.000000000000185</v>
      </c>
      <c r="T11" s="4"/>
      <c r="U11" s="6">
        <f t="shared" si="15"/>
        <v>27.199999999999996</v>
      </c>
      <c r="V11" s="6">
        <f t="shared" si="6"/>
        <v>40.800000000000217</v>
      </c>
      <c r="W11" s="4"/>
      <c r="X11" s="6">
        <f t="shared" si="16"/>
        <v>27.199999999999996</v>
      </c>
      <c r="Y11" s="6">
        <f t="shared" si="7"/>
        <v>47.60000000000025</v>
      </c>
      <c r="Z11" s="4"/>
      <c r="AA11" s="2">
        <f>AA9-$B11</f>
        <v>30.199999999999996</v>
      </c>
      <c r="AB11" s="2">
        <f t="shared" si="8"/>
        <v>0</v>
      </c>
    </row>
    <row r="12" spans="1:29" x14ac:dyDescent="0.25">
      <c r="B12">
        <f>SUM(B4:B11)</f>
        <v>18.8</v>
      </c>
      <c r="D12">
        <f>SUM(D4:D11)</f>
        <v>0</v>
      </c>
      <c r="G12" s="2">
        <f>SUM(G4:G11)</f>
        <v>6.8000000000000362</v>
      </c>
      <c r="H12" s="4"/>
      <c r="I12" s="2">
        <f t="shared" si="11"/>
        <v>8.399999999999995</v>
      </c>
      <c r="J12" s="2">
        <f t="shared" ref="J12" si="18">SUM(J4:J11)</f>
        <v>13.600000000000072</v>
      </c>
      <c r="M12" s="2">
        <f t="shared" ref="M12" si="19">SUM(M4:M11)</f>
        <v>20.400000000000109</v>
      </c>
      <c r="P12" s="2">
        <f t="shared" ref="P12" si="20">SUM(P4:P11)</f>
        <v>27.200000000000145</v>
      </c>
      <c r="Q12" s="4"/>
      <c r="S12" s="2">
        <f t="shared" ref="S12" si="21">SUM(S4:S11)</f>
        <v>34.000000000000185</v>
      </c>
      <c r="V12" s="2">
        <f t="shared" ref="V12" si="22">SUM(V4:V11)</f>
        <v>40.800000000000217</v>
      </c>
      <c r="Y12" s="2">
        <f t="shared" ref="Y12" si="23">SUM(Y4:Y11)</f>
        <v>47.60000000000025</v>
      </c>
      <c r="AB12" s="2">
        <f t="shared" ref="AB12" si="24">SUM(AB4:AB11)</f>
        <v>0</v>
      </c>
    </row>
    <row r="13" spans="1:29" x14ac:dyDescent="0.25"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25"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25">
      <c r="A15" s="27" t="s">
        <v>3</v>
      </c>
      <c r="B15" s="28"/>
    </row>
    <row r="16" spans="1:29" x14ac:dyDescent="0.25">
      <c r="A16" s="5">
        <v>80</v>
      </c>
      <c r="B16" s="5">
        <v>0</v>
      </c>
      <c r="C16" s="26">
        <v>41</v>
      </c>
      <c r="D16" s="6">
        <f t="shared" ref="D16:D22" si="25">A16*FINDBM(span,C16,0)</f>
        <v>0</v>
      </c>
      <c r="F16" s="6">
        <v>41</v>
      </c>
      <c r="G16" s="6">
        <f>FINDBM(span,F16,F$2)*$A16</f>
        <v>0</v>
      </c>
      <c r="H16" s="4"/>
      <c r="I16" s="6">
        <v>41</v>
      </c>
      <c r="J16" s="6">
        <f t="shared" ref="J16:J22" si="26">FINDBM(span,I16,I$2)*$A16</f>
        <v>0</v>
      </c>
      <c r="K16" s="4"/>
      <c r="L16" s="6">
        <v>41</v>
      </c>
      <c r="M16" s="6">
        <f t="shared" ref="M16:M22" si="27">FINDBM(span,L16,L$2)*$A16</f>
        <v>0</v>
      </c>
      <c r="N16" s="4"/>
      <c r="O16" s="6">
        <v>41</v>
      </c>
      <c r="P16" s="6">
        <f t="shared" ref="P16:P22" si="28">FINDBM(span,O16,O$2)*$A16</f>
        <v>0</v>
      </c>
      <c r="Q16" s="4"/>
      <c r="R16" s="6">
        <v>41</v>
      </c>
      <c r="S16" s="6">
        <f t="shared" ref="S16:S22" si="29">FINDBM(span,R16,R$2)*$A16</f>
        <v>0</v>
      </c>
      <c r="T16" s="4"/>
      <c r="U16" s="6">
        <v>41</v>
      </c>
      <c r="V16" s="6">
        <f t="shared" ref="V16:V22" si="30">FINDBM(span,U16,U$2)*$A16</f>
        <v>0</v>
      </c>
      <c r="W16" s="4"/>
      <c r="X16" s="2">
        <v>41</v>
      </c>
      <c r="Y16" s="2">
        <f t="shared" ref="Y16:Y22" si="31">FINDBM(span,X16,X$2)*$A16</f>
        <v>0</v>
      </c>
      <c r="Z16" s="4"/>
      <c r="AA16" s="2">
        <v>41</v>
      </c>
      <c r="AB16" s="2">
        <f t="shared" ref="AB16:AB22" si="32">FINDBM(span,AA16,AA$2)*$A16</f>
        <v>0</v>
      </c>
    </row>
    <row r="17" spans="1:28" x14ac:dyDescent="0.25">
      <c r="A17" s="5">
        <v>120</v>
      </c>
      <c r="B17" s="5">
        <v>3.96</v>
      </c>
      <c r="C17" s="26">
        <f>C16-B17</f>
        <v>37.04</v>
      </c>
      <c r="D17" s="6">
        <f t="shared" si="25"/>
        <v>0</v>
      </c>
      <c r="F17" s="6">
        <f>F16-$B17</f>
        <v>37.04</v>
      </c>
      <c r="G17" s="6">
        <f t="shared" ref="G17:G22" si="33">FINDBM(span,F17,F$2)*$A17</f>
        <v>0</v>
      </c>
      <c r="H17" s="4"/>
      <c r="I17" s="6">
        <f>I16-$B17</f>
        <v>37.04</v>
      </c>
      <c r="J17" s="6">
        <f t="shared" si="26"/>
        <v>0</v>
      </c>
      <c r="K17" s="4"/>
      <c r="L17" s="6">
        <f>L16-$B17</f>
        <v>37.04</v>
      </c>
      <c r="M17" s="6">
        <f t="shared" si="27"/>
        <v>0</v>
      </c>
      <c r="N17" s="4"/>
      <c r="O17" s="6">
        <f>O16-$B17</f>
        <v>37.04</v>
      </c>
      <c r="P17" s="6">
        <f t="shared" si="28"/>
        <v>0</v>
      </c>
      <c r="Q17" s="4"/>
      <c r="R17" s="6">
        <f>R16-$B17</f>
        <v>37.04</v>
      </c>
      <c r="S17" s="6">
        <f t="shared" si="29"/>
        <v>0</v>
      </c>
      <c r="T17" s="4"/>
      <c r="U17" s="6">
        <f>U16-$B17</f>
        <v>37.04</v>
      </c>
      <c r="V17" s="6">
        <f t="shared" si="30"/>
        <v>0</v>
      </c>
      <c r="W17" s="4"/>
      <c r="X17" s="2">
        <f>X16-$B17</f>
        <v>37.04</v>
      </c>
      <c r="Y17" s="2">
        <f t="shared" si="31"/>
        <v>0</v>
      </c>
      <c r="Z17" s="4"/>
      <c r="AA17" s="2">
        <f>AA16-$B17</f>
        <v>37.04</v>
      </c>
      <c r="AB17" s="2">
        <f t="shared" si="32"/>
        <v>0</v>
      </c>
    </row>
    <row r="18" spans="1:28" x14ac:dyDescent="0.25">
      <c r="A18" s="5">
        <v>120</v>
      </c>
      <c r="B18" s="5">
        <v>1.52</v>
      </c>
      <c r="C18" s="26">
        <f t="shared" ref="C18:C22" si="34">C17-B18</f>
        <v>35.519999999999996</v>
      </c>
      <c r="D18" s="6">
        <f t="shared" si="25"/>
        <v>0</v>
      </c>
      <c r="F18" s="6">
        <f t="shared" ref="F18:F22" si="35">F17-$B18</f>
        <v>35.519999999999996</v>
      </c>
      <c r="G18" s="6">
        <f t="shared" si="33"/>
        <v>0</v>
      </c>
      <c r="H18" s="4"/>
      <c r="I18" s="6">
        <f t="shared" ref="I18:I22" si="36">I17-$B18</f>
        <v>35.519999999999996</v>
      </c>
      <c r="J18" s="6">
        <f t="shared" si="26"/>
        <v>0</v>
      </c>
      <c r="K18" s="4"/>
      <c r="L18" s="6">
        <f t="shared" ref="L18:L22" si="37">L17-$B18</f>
        <v>35.519999999999996</v>
      </c>
      <c r="M18" s="6">
        <f t="shared" si="27"/>
        <v>0</v>
      </c>
      <c r="N18" s="4"/>
      <c r="O18" s="6">
        <f t="shared" ref="O18:O22" si="38">O17-$B18</f>
        <v>35.519999999999996</v>
      </c>
      <c r="P18" s="6">
        <f t="shared" si="28"/>
        <v>0</v>
      </c>
      <c r="Q18" s="4"/>
      <c r="R18" s="6">
        <f t="shared" ref="R18:R22" si="39">R17-$B18</f>
        <v>35.519999999999996</v>
      </c>
      <c r="S18" s="6">
        <f t="shared" si="29"/>
        <v>0</v>
      </c>
      <c r="T18" s="4"/>
      <c r="U18" s="6">
        <f t="shared" ref="U18:U22" si="40">U17-$B18</f>
        <v>35.519999999999996</v>
      </c>
      <c r="V18" s="6">
        <f t="shared" si="30"/>
        <v>0</v>
      </c>
      <c r="W18" s="4"/>
      <c r="X18" s="2">
        <f t="shared" ref="X18:X22" si="41">X17-$B18</f>
        <v>35.519999999999996</v>
      </c>
      <c r="Y18" s="2">
        <f t="shared" si="31"/>
        <v>0</v>
      </c>
      <c r="Z18" s="4"/>
      <c r="AA18" s="2">
        <f t="shared" ref="AA18:AA22" si="42">AA17-$B18</f>
        <v>35.519999999999996</v>
      </c>
      <c r="AB18" s="2">
        <f t="shared" si="32"/>
        <v>0</v>
      </c>
    </row>
    <row r="19" spans="1:28" x14ac:dyDescent="0.25">
      <c r="A19" s="5">
        <v>170</v>
      </c>
      <c r="B19" s="5">
        <v>2.13</v>
      </c>
      <c r="C19" s="26">
        <f t="shared" si="34"/>
        <v>33.389999999999993</v>
      </c>
      <c r="D19" s="6">
        <f t="shared" si="25"/>
        <v>0</v>
      </c>
      <c r="F19" s="6">
        <f t="shared" si="35"/>
        <v>33.389999999999993</v>
      </c>
      <c r="G19" s="6">
        <f>FINDBM(span,F19,F$2)*$A19</f>
        <v>0</v>
      </c>
      <c r="H19" s="4"/>
      <c r="I19" s="6">
        <f t="shared" si="36"/>
        <v>33.389999999999993</v>
      </c>
      <c r="J19" s="6">
        <f t="shared" si="26"/>
        <v>0</v>
      </c>
      <c r="K19" s="4"/>
      <c r="L19" s="6">
        <f t="shared" si="37"/>
        <v>33.389999999999993</v>
      </c>
      <c r="M19" s="6">
        <f t="shared" si="27"/>
        <v>0</v>
      </c>
      <c r="N19" s="4"/>
      <c r="O19" s="6">
        <f t="shared" si="38"/>
        <v>33.389999999999993</v>
      </c>
      <c r="P19" s="6">
        <f t="shared" si="28"/>
        <v>0</v>
      </c>
      <c r="Q19" s="4"/>
      <c r="R19" s="6">
        <f t="shared" si="39"/>
        <v>33.389999999999993</v>
      </c>
      <c r="S19" s="6">
        <f t="shared" si="29"/>
        <v>0</v>
      </c>
      <c r="T19" s="4"/>
      <c r="U19" s="6">
        <f t="shared" si="40"/>
        <v>33.389999999999993</v>
      </c>
      <c r="V19" s="6">
        <f t="shared" si="30"/>
        <v>0</v>
      </c>
      <c r="W19" s="4"/>
      <c r="X19" s="2">
        <f t="shared" si="41"/>
        <v>33.389999999999993</v>
      </c>
      <c r="Y19" s="2">
        <f t="shared" si="31"/>
        <v>0</v>
      </c>
      <c r="Z19" s="4"/>
      <c r="AA19" s="2">
        <f t="shared" si="42"/>
        <v>33.389999999999993</v>
      </c>
      <c r="AB19" s="2">
        <f t="shared" si="32"/>
        <v>0</v>
      </c>
    </row>
    <row r="20" spans="1:28" x14ac:dyDescent="0.25">
      <c r="A20" s="5">
        <v>170</v>
      </c>
      <c r="B20" s="5">
        <v>1.37</v>
      </c>
      <c r="C20" s="26">
        <f t="shared" si="34"/>
        <v>32.019999999999996</v>
      </c>
      <c r="D20" s="6">
        <f t="shared" si="25"/>
        <v>0</v>
      </c>
      <c r="F20" s="6">
        <f t="shared" si="35"/>
        <v>32.019999999999996</v>
      </c>
      <c r="G20" s="6">
        <f t="shared" si="33"/>
        <v>0</v>
      </c>
      <c r="H20" s="4"/>
      <c r="I20" s="6">
        <f t="shared" si="36"/>
        <v>32.019999999999996</v>
      </c>
      <c r="J20" s="6">
        <f t="shared" si="26"/>
        <v>0</v>
      </c>
      <c r="K20" s="4"/>
      <c r="L20" s="6">
        <f t="shared" si="37"/>
        <v>32.019999999999996</v>
      </c>
      <c r="M20" s="6">
        <f t="shared" si="27"/>
        <v>0</v>
      </c>
      <c r="N20" s="4"/>
      <c r="O20" s="6">
        <f t="shared" si="38"/>
        <v>32.019999999999996</v>
      </c>
      <c r="P20" s="6">
        <f t="shared" si="28"/>
        <v>0</v>
      </c>
      <c r="Q20" s="4"/>
      <c r="R20" s="6">
        <f t="shared" si="39"/>
        <v>32.019999999999996</v>
      </c>
      <c r="S20" s="6">
        <f t="shared" si="29"/>
        <v>0</v>
      </c>
      <c r="T20" s="4"/>
      <c r="U20" s="6">
        <f t="shared" si="40"/>
        <v>32.019999999999996</v>
      </c>
      <c r="V20" s="6">
        <f t="shared" si="30"/>
        <v>0</v>
      </c>
      <c r="W20" s="4"/>
      <c r="X20" s="2">
        <f t="shared" si="41"/>
        <v>32.019999999999996</v>
      </c>
      <c r="Y20" s="2">
        <f t="shared" si="31"/>
        <v>0</v>
      </c>
      <c r="Z20" s="4"/>
      <c r="AA20" s="2">
        <f t="shared" si="42"/>
        <v>32.019999999999996</v>
      </c>
      <c r="AB20" s="2">
        <f t="shared" si="32"/>
        <v>0</v>
      </c>
    </row>
    <row r="21" spans="1:28" x14ac:dyDescent="0.25">
      <c r="A21" s="5">
        <v>170</v>
      </c>
      <c r="B21" s="5">
        <v>3.05</v>
      </c>
      <c r="C21" s="26">
        <f t="shared" si="34"/>
        <v>28.969999999999995</v>
      </c>
      <c r="D21" s="6">
        <f t="shared" si="25"/>
        <v>0</v>
      </c>
      <c r="F21" s="6">
        <f t="shared" si="35"/>
        <v>28.969999999999995</v>
      </c>
      <c r="G21" s="6">
        <f t="shared" si="33"/>
        <v>0</v>
      </c>
      <c r="H21" s="4"/>
      <c r="I21" s="6">
        <f t="shared" si="36"/>
        <v>28.969999999999995</v>
      </c>
      <c r="J21" s="6">
        <f t="shared" si="26"/>
        <v>0</v>
      </c>
      <c r="K21" s="4"/>
      <c r="L21" s="6">
        <f t="shared" si="37"/>
        <v>28.969999999999995</v>
      </c>
      <c r="M21" s="6">
        <f t="shared" si="27"/>
        <v>0</v>
      </c>
      <c r="N21" s="4"/>
      <c r="O21" s="6">
        <f t="shared" si="38"/>
        <v>28.969999999999995</v>
      </c>
      <c r="P21" s="6">
        <f t="shared" si="28"/>
        <v>0</v>
      </c>
      <c r="Q21" s="4"/>
      <c r="R21" s="6">
        <f t="shared" si="39"/>
        <v>28.969999999999995</v>
      </c>
      <c r="S21" s="6">
        <f t="shared" si="29"/>
        <v>0</v>
      </c>
      <c r="T21" s="4"/>
      <c r="U21" s="6">
        <f t="shared" si="40"/>
        <v>28.969999999999995</v>
      </c>
      <c r="V21" s="6">
        <f t="shared" si="30"/>
        <v>0</v>
      </c>
      <c r="W21" s="4"/>
      <c r="X21" s="2">
        <f t="shared" si="41"/>
        <v>28.969999999999995</v>
      </c>
      <c r="Y21" s="2">
        <f t="shared" si="31"/>
        <v>0</v>
      </c>
      <c r="Z21" s="4"/>
      <c r="AA21" s="2">
        <f t="shared" si="42"/>
        <v>28.969999999999995</v>
      </c>
      <c r="AB21" s="2">
        <f t="shared" si="32"/>
        <v>0</v>
      </c>
    </row>
    <row r="22" spans="1:28" x14ac:dyDescent="0.25">
      <c r="A22" s="5">
        <v>170</v>
      </c>
      <c r="B22" s="5">
        <v>1.37</v>
      </c>
      <c r="C22" s="26">
        <f t="shared" si="34"/>
        <v>27.599999999999994</v>
      </c>
      <c r="D22" s="6">
        <f t="shared" si="25"/>
        <v>0</v>
      </c>
      <c r="F22" s="6">
        <f t="shared" si="35"/>
        <v>27.599999999999994</v>
      </c>
      <c r="G22" s="6">
        <f t="shared" si="33"/>
        <v>8.5000000000001208</v>
      </c>
      <c r="H22" s="4"/>
      <c r="I22" s="6">
        <f t="shared" si="36"/>
        <v>27.599999999999994</v>
      </c>
      <c r="J22" s="6">
        <f t="shared" si="26"/>
        <v>17.000000000000242</v>
      </c>
      <c r="K22" s="4"/>
      <c r="L22" s="6">
        <f t="shared" si="37"/>
        <v>27.599999999999994</v>
      </c>
      <c r="M22" s="6">
        <f t="shared" si="27"/>
        <v>25.500000000000362</v>
      </c>
      <c r="N22" s="4"/>
      <c r="O22" s="6">
        <f t="shared" si="38"/>
        <v>27.599999999999994</v>
      </c>
      <c r="P22" s="6">
        <f t="shared" si="28"/>
        <v>34.000000000000483</v>
      </c>
      <c r="Q22" s="4"/>
      <c r="R22" s="6">
        <f t="shared" si="39"/>
        <v>27.599999999999994</v>
      </c>
      <c r="S22" s="6">
        <f t="shared" si="29"/>
        <v>42.500000000000604</v>
      </c>
      <c r="T22" s="4"/>
      <c r="U22" s="6">
        <f t="shared" si="40"/>
        <v>27.599999999999994</v>
      </c>
      <c r="V22" s="6">
        <f t="shared" si="30"/>
        <v>51.000000000000725</v>
      </c>
      <c r="W22" s="4"/>
      <c r="X22" s="2">
        <f t="shared" si="41"/>
        <v>27.599999999999994</v>
      </c>
      <c r="Y22" s="2">
        <f t="shared" si="31"/>
        <v>59.500000000000846</v>
      </c>
      <c r="Z22" s="4"/>
      <c r="AA22" s="2">
        <f t="shared" si="42"/>
        <v>27.599999999999994</v>
      </c>
      <c r="AB22" s="2">
        <f t="shared" si="32"/>
        <v>0</v>
      </c>
    </row>
    <row r="23" spans="1:28" x14ac:dyDescent="0.25">
      <c r="C23" s="6"/>
      <c r="D23" s="6"/>
      <c r="F23" s="6"/>
      <c r="G23" s="6"/>
      <c r="H23" s="4"/>
      <c r="I23" s="2"/>
      <c r="J23" s="2"/>
      <c r="K23" s="4"/>
      <c r="L23" s="2"/>
      <c r="M23" s="2"/>
      <c r="N23" s="4"/>
      <c r="O23" s="6"/>
      <c r="P23" s="6"/>
      <c r="Q23" s="4"/>
      <c r="R23" s="2"/>
      <c r="S23" s="2"/>
      <c r="T23" s="4"/>
      <c r="U23" s="6"/>
      <c r="V23" s="6"/>
      <c r="W23" s="4"/>
      <c r="X23" s="2"/>
      <c r="Y23" s="2"/>
      <c r="Z23" s="4"/>
      <c r="AA23" s="2"/>
      <c r="AB23" s="2"/>
    </row>
    <row r="24" spans="1:28" x14ac:dyDescent="0.25">
      <c r="B24">
        <f>SUM(B16:B22)</f>
        <v>13.400000000000002</v>
      </c>
      <c r="D24">
        <f>SUM(D16:D22)</f>
        <v>0</v>
      </c>
      <c r="G24" s="2">
        <f>SUM(G16:G22)</f>
        <v>8.5000000000001208</v>
      </c>
      <c r="J24" s="2">
        <f>SUM(J16:J22)</f>
        <v>17.000000000000242</v>
      </c>
      <c r="M24" s="2">
        <f>SUM(M16:M22)</f>
        <v>25.500000000000362</v>
      </c>
      <c r="P24" s="2">
        <f>SUM(P16:P22)</f>
        <v>34.000000000000483</v>
      </c>
      <c r="S24" s="2">
        <f>SUM(S16:S22)</f>
        <v>42.500000000000604</v>
      </c>
      <c r="V24" s="2">
        <f>SUM(V16:V22)</f>
        <v>51.000000000000725</v>
      </c>
      <c r="Y24" s="2">
        <f>SUM(Y16:Y22)</f>
        <v>59.500000000000846</v>
      </c>
      <c r="AB24" s="2">
        <f>SUM(AB16:AB22)</f>
        <v>0</v>
      </c>
    </row>
    <row r="27" spans="1:28" x14ac:dyDescent="0.25">
      <c r="A27" t="s">
        <v>60</v>
      </c>
    </row>
    <row r="28" spans="1:28" x14ac:dyDescent="0.25">
      <c r="A28" s="5">
        <v>50</v>
      </c>
      <c r="B28" s="5">
        <v>0</v>
      </c>
      <c r="C28" s="2">
        <v>32</v>
      </c>
      <c r="D28" s="2">
        <f t="shared" ref="D28:D35" si="43">FINDBM(span,C28,0)</f>
        <v>0</v>
      </c>
      <c r="F28" s="2">
        <v>32</v>
      </c>
      <c r="G28" s="2">
        <f t="shared" ref="G28:G35" si="44">FINDBM(span,F28,F$2)*$A28</f>
        <v>0</v>
      </c>
      <c r="H28" s="4"/>
      <c r="I28" s="2">
        <v>32</v>
      </c>
      <c r="J28" s="2">
        <f t="shared" ref="J28:J35" si="45">FINDBM(span,I28,I$2)*$A28</f>
        <v>0</v>
      </c>
      <c r="K28" s="4"/>
      <c r="L28" s="2">
        <v>32</v>
      </c>
      <c r="M28" s="2">
        <f t="shared" ref="M28:M35" si="46">FINDBM(span,L28,L$2)*$A28</f>
        <v>0</v>
      </c>
      <c r="N28" s="4"/>
      <c r="O28" s="2">
        <v>32</v>
      </c>
      <c r="P28" s="2">
        <f t="shared" ref="P28:P35" si="47">FINDBM(span,O28,O$2)*$A28</f>
        <v>0</v>
      </c>
      <c r="Q28" s="4"/>
      <c r="R28" s="2">
        <v>32</v>
      </c>
      <c r="S28" s="2">
        <f t="shared" ref="S28:S35" si="48">FINDBM(span,R28,R$2)*$A28</f>
        <v>0</v>
      </c>
      <c r="T28" s="4"/>
      <c r="U28" s="2">
        <v>32</v>
      </c>
      <c r="V28" s="2">
        <f t="shared" ref="V28:V35" si="49">FINDBM(span,U28,U$2)*$A28</f>
        <v>0</v>
      </c>
      <c r="W28" s="4"/>
      <c r="X28" s="2">
        <v>32</v>
      </c>
      <c r="Y28" s="2">
        <f t="shared" ref="Y28:Y35" si="50">FINDBM(span,X28,X$2)*$A28</f>
        <v>0</v>
      </c>
      <c r="Z28" s="4"/>
      <c r="AA28" s="2">
        <v>32</v>
      </c>
      <c r="AB28" s="2">
        <f t="shared" ref="AB28:AB35" si="51">FINDBM(span,AA28,AA$2)*$A28</f>
        <v>0</v>
      </c>
    </row>
    <row r="29" spans="1:28" x14ac:dyDescent="0.25">
      <c r="A29" s="5">
        <v>100</v>
      </c>
      <c r="B29" s="5">
        <f>4.57/7</f>
        <v>0.65285714285714291</v>
      </c>
      <c r="C29" s="2">
        <f>C28-B29</f>
        <v>31.347142857142856</v>
      </c>
      <c r="D29" s="2">
        <f t="shared" si="43"/>
        <v>0</v>
      </c>
      <c r="F29" s="2">
        <f>F28-$B29</f>
        <v>31.347142857142856</v>
      </c>
      <c r="G29" s="2">
        <f t="shared" si="44"/>
        <v>0</v>
      </c>
      <c r="H29" s="4"/>
      <c r="I29" s="2">
        <f>I28-$B29</f>
        <v>31.347142857142856</v>
      </c>
      <c r="J29" s="2">
        <f t="shared" si="45"/>
        <v>0</v>
      </c>
      <c r="K29" s="4"/>
      <c r="L29" s="2">
        <f>L28-$B29</f>
        <v>31.347142857142856</v>
      </c>
      <c r="M29" s="2">
        <f t="shared" si="46"/>
        <v>0</v>
      </c>
      <c r="N29" s="4"/>
      <c r="O29" s="2">
        <f>O28-$B29</f>
        <v>31.347142857142856</v>
      </c>
      <c r="P29" s="2">
        <f t="shared" si="47"/>
        <v>0</v>
      </c>
      <c r="Q29" s="4"/>
      <c r="R29" s="2">
        <f>R28-$B29</f>
        <v>31.347142857142856</v>
      </c>
      <c r="S29" s="2">
        <f t="shared" si="48"/>
        <v>0</v>
      </c>
      <c r="T29" s="4"/>
      <c r="U29" s="2">
        <f>U28-$B29</f>
        <v>31.347142857142856</v>
      </c>
      <c r="V29" s="2">
        <f t="shared" si="49"/>
        <v>0</v>
      </c>
      <c r="W29" s="4"/>
      <c r="X29" s="2">
        <f>X28-$B29</f>
        <v>31.347142857142856</v>
      </c>
      <c r="Y29" s="2">
        <f t="shared" si="50"/>
        <v>0</v>
      </c>
      <c r="Z29" s="4"/>
      <c r="AA29" s="2">
        <f>AA28-$B29</f>
        <v>31.347142857142856</v>
      </c>
      <c r="AB29" s="2">
        <f t="shared" si="51"/>
        <v>0</v>
      </c>
    </row>
    <row r="30" spans="1:28" x14ac:dyDescent="0.25">
      <c r="A30" s="5">
        <v>100</v>
      </c>
      <c r="B30" s="5">
        <f t="shared" ref="B30:B35" si="52">4.57/7</f>
        <v>0.65285714285714291</v>
      </c>
      <c r="C30" s="2">
        <f t="shared" ref="C30:C35" si="53">C29-B30</f>
        <v>30.694285714285712</v>
      </c>
      <c r="D30" s="2">
        <f t="shared" si="43"/>
        <v>0</v>
      </c>
      <c r="F30" s="2">
        <f t="shared" ref="F30:F35" si="54">F29-$B30</f>
        <v>30.694285714285712</v>
      </c>
      <c r="G30" s="2">
        <f t="shared" si="44"/>
        <v>0</v>
      </c>
      <c r="H30" s="4"/>
      <c r="I30" s="2">
        <f t="shared" ref="I30:I35" si="55">I29-$B30</f>
        <v>30.694285714285712</v>
      </c>
      <c r="J30" s="2">
        <f t="shared" si="45"/>
        <v>0</v>
      </c>
      <c r="K30" s="4"/>
      <c r="L30" s="2">
        <f t="shared" ref="L30:L35" si="56">L29-$B30</f>
        <v>30.694285714285712</v>
      </c>
      <c r="M30" s="2">
        <f t="shared" si="46"/>
        <v>0</v>
      </c>
      <c r="N30" s="4"/>
      <c r="O30" s="2">
        <f t="shared" ref="O30:O35" si="57">O29-$B30</f>
        <v>30.694285714285712</v>
      </c>
      <c r="P30" s="2">
        <f t="shared" si="47"/>
        <v>0</v>
      </c>
      <c r="Q30" s="4"/>
      <c r="R30" s="2">
        <f t="shared" ref="R30:R35" si="58">R29-$B30</f>
        <v>30.694285714285712</v>
      </c>
      <c r="S30" s="2">
        <f t="shared" si="48"/>
        <v>0</v>
      </c>
      <c r="T30" s="4"/>
      <c r="U30" s="2">
        <f t="shared" ref="U30:U35" si="59">U29-$B30</f>
        <v>30.694285714285712</v>
      </c>
      <c r="V30" s="2">
        <f t="shared" si="49"/>
        <v>0</v>
      </c>
      <c r="W30" s="4"/>
      <c r="X30" s="2">
        <f t="shared" ref="X30:X35" si="60">X29-$B30</f>
        <v>30.694285714285712</v>
      </c>
      <c r="Y30" s="2">
        <f t="shared" si="50"/>
        <v>0</v>
      </c>
      <c r="Z30" s="4"/>
      <c r="AA30" s="2">
        <f t="shared" ref="AA30:AA35" si="61">AA29-$B30</f>
        <v>30.694285714285712</v>
      </c>
      <c r="AB30" s="2">
        <f t="shared" si="51"/>
        <v>0</v>
      </c>
    </row>
    <row r="31" spans="1:28" x14ac:dyDescent="0.25">
      <c r="A31" s="5">
        <v>100</v>
      </c>
      <c r="B31" s="5">
        <f t="shared" si="52"/>
        <v>0.65285714285714291</v>
      </c>
      <c r="C31" s="2">
        <f t="shared" si="53"/>
        <v>30.041428571428568</v>
      </c>
      <c r="D31" s="2">
        <f t="shared" si="43"/>
        <v>0</v>
      </c>
      <c r="F31" s="2">
        <f t="shared" si="54"/>
        <v>30.041428571428568</v>
      </c>
      <c r="G31" s="2">
        <f t="shared" si="44"/>
        <v>0</v>
      </c>
      <c r="H31" s="4"/>
      <c r="I31" s="2">
        <f t="shared" si="55"/>
        <v>30.041428571428568</v>
      </c>
      <c r="J31" s="2">
        <f t="shared" si="45"/>
        <v>0</v>
      </c>
      <c r="K31" s="4"/>
      <c r="L31" s="2">
        <f t="shared" si="56"/>
        <v>30.041428571428568</v>
      </c>
      <c r="M31" s="2">
        <f t="shared" si="46"/>
        <v>0</v>
      </c>
      <c r="N31" s="4"/>
      <c r="O31" s="2">
        <f t="shared" si="57"/>
        <v>30.041428571428568</v>
      </c>
      <c r="P31" s="2">
        <f t="shared" si="47"/>
        <v>0</v>
      </c>
      <c r="Q31" s="4"/>
      <c r="R31" s="2">
        <f t="shared" si="58"/>
        <v>30.041428571428568</v>
      </c>
      <c r="S31" s="2">
        <f t="shared" si="48"/>
        <v>0</v>
      </c>
      <c r="T31" s="4"/>
      <c r="U31" s="2">
        <f t="shared" si="59"/>
        <v>30.041428571428568</v>
      </c>
      <c r="V31" s="2">
        <f t="shared" si="49"/>
        <v>0</v>
      </c>
      <c r="W31" s="4"/>
      <c r="X31" s="2">
        <f t="shared" si="60"/>
        <v>30.041428571428568</v>
      </c>
      <c r="Y31" s="2">
        <f t="shared" si="50"/>
        <v>0</v>
      </c>
      <c r="Z31" s="4"/>
      <c r="AA31" s="2">
        <f t="shared" si="61"/>
        <v>30.041428571428568</v>
      </c>
      <c r="AB31" s="2">
        <f t="shared" si="51"/>
        <v>0</v>
      </c>
    </row>
    <row r="32" spans="1:28" x14ac:dyDescent="0.25">
      <c r="A32" s="5">
        <v>100</v>
      </c>
      <c r="B32" s="5">
        <f t="shared" si="52"/>
        <v>0.65285714285714291</v>
      </c>
      <c r="C32" s="2">
        <f t="shared" si="53"/>
        <v>29.388571428571424</v>
      </c>
      <c r="D32" s="2">
        <f t="shared" si="43"/>
        <v>0</v>
      </c>
      <c r="F32" s="2">
        <f t="shared" si="54"/>
        <v>29.388571428571424</v>
      </c>
      <c r="G32" s="2">
        <f t="shared" si="44"/>
        <v>0</v>
      </c>
      <c r="H32" s="4"/>
      <c r="I32" s="2">
        <f t="shared" si="55"/>
        <v>29.388571428571424</v>
      </c>
      <c r="J32" s="2">
        <f t="shared" si="45"/>
        <v>0</v>
      </c>
      <c r="K32" s="4"/>
      <c r="L32" s="2">
        <f t="shared" si="56"/>
        <v>29.388571428571424</v>
      </c>
      <c r="M32" s="2">
        <f t="shared" si="46"/>
        <v>0</v>
      </c>
      <c r="N32" s="4"/>
      <c r="O32" s="2">
        <f t="shared" si="57"/>
        <v>29.388571428571424</v>
      </c>
      <c r="P32" s="2">
        <f t="shared" si="47"/>
        <v>0</v>
      </c>
      <c r="Q32" s="4"/>
      <c r="R32" s="2">
        <f t="shared" si="58"/>
        <v>29.388571428571424</v>
      </c>
      <c r="S32" s="2">
        <f t="shared" si="48"/>
        <v>0</v>
      </c>
      <c r="T32" s="4"/>
      <c r="U32" s="2">
        <f t="shared" si="59"/>
        <v>29.388571428571424</v>
      </c>
      <c r="V32" s="2">
        <f t="shared" si="49"/>
        <v>0</v>
      </c>
      <c r="W32" s="4"/>
      <c r="X32" s="2">
        <f t="shared" si="60"/>
        <v>29.388571428571424</v>
      </c>
      <c r="Y32" s="2">
        <f t="shared" si="50"/>
        <v>0</v>
      </c>
      <c r="Z32" s="4"/>
      <c r="AA32" s="2">
        <f t="shared" si="61"/>
        <v>29.388571428571424</v>
      </c>
      <c r="AB32" s="2">
        <f t="shared" si="51"/>
        <v>0</v>
      </c>
    </row>
    <row r="33" spans="1:28" x14ac:dyDescent="0.25">
      <c r="A33" s="5">
        <v>100</v>
      </c>
      <c r="B33" s="5">
        <f t="shared" si="52"/>
        <v>0.65285714285714291</v>
      </c>
      <c r="C33" s="2">
        <f t="shared" si="53"/>
        <v>28.73571428571428</v>
      </c>
      <c r="D33" s="2">
        <f t="shared" si="43"/>
        <v>0</v>
      </c>
      <c r="F33" s="2">
        <f t="shared" si="54"/>
        <v>28.73571428571428</v>
      </c>
      <c r="G33" s="2">
        <f t="shared" si="44"/>
        <v>0</v>
      </c>
      <c r="H33" s="4"/>
      <c r="I33" s="2">
        <f t="shared" si="55"/>
        <v>28.73571428571428</v>
      </c>
      <c r="J33" s="2">
        <f t="shared" si="45"/>
        <v>0</v>
      </c>
      <c r="K33" s="4"/>
      <c r="L33" s="2">
        <f t="shared" si="56"/>
        <v>28.73571428571428</v>
      </c>
      <c r="M33" s="2">
        <f t="shared" si="46"/>
        <v>0</v>
      </c>
      <c r="N33" s="4"/>
      <c r="O33" s="2">
        <f t="shared" si="57"/>
        <v>28.73571428571428</v>
      </c>
      <c r="P33" s="2">
        <f t="shared" si="47"/>
        <v>0</v>
      </c>
      <c r="Q33" s="4"/>
      <c r="R33" s="2">
        <f t="shared" si="58"/>
        <v>28.73571428571428</v>
      </c>
      <c r="S33" s="2">
        <f t="shared" si="48"/>
        <v>0</v>
      </c>
      <c r="T33" s="4"/>
      <c r="U33" s="2">
        <f t="shared" si="59"/>
        <v>28.73571428571428</v>
      </c>
      <c r="V33" s="2">
        <f t="shared" si="49"/>
        <v>0</v>
      </c>
      <c r="W33" s="4"/>
      <c r="X33" s="2">
        <f t="shared" si="60"/>
        <v>28.73571428571428</v>
      </c>
      <c r="Y33" s="2">
        <f t="shared" si="50"/>
        <v>0</v>
      </c>
      <c r="Z33" s="4"/>
      <c r="AA33" s="2">
        <f t="shared" si="61"/>
        <v>28.73571428571428</v>
      </c>
      <c r="AB33" s="2">
        <f t="shared" si="51"/>
        <v>0</v>
      </c>
    </row>
    <row r="34" spans="1:28" x14ac:dyDescent="0.25">
      <c r="A34" s="5">
        <v>100</v>
      </c>
      <c r="B34" s="5">
        <f t="shared" si="52"/>
        <v>0.65285714285714291</v>
      </c>
      <c r="C34" s="2">
        <f t="shared" si="53"/>
        <v>28.082857142857137</v>
      </c>
      <c r="D34" s="2">
        <f t="shared" si="43"/>
        <v>0</v>
      </c>
      <c r="F34" s="2">
        <f t="shared" si="54"/>
        <v>28.082857142857137</v>
      </c>
      <c r="G34" s="2">
        <f t="shared" si="44"/>
        <v>0</v>
      </c>
      <c r="H34" s="4"/>
      <c r="I34" s="2">
        <f t="shared" si="55"/>
        <v>28.082857142857137</v>
      </c>
      <c r="J34" s="2">
        <f t="shared" si="45"/>
        <v>0</v>
      </c>
      <c r="K34" s="4"/>
      <c r="L34" s="2">
        <f t="shared" si="56"/>
        <v>28.082857142857137</v>
      </c>
      <c r="M34" s="2">
        <f t="shared" si="46"/>
        <v>0</v>
      </c>
      <c r="N34" s="4"/>
      <c r="O34" s="2">
        <f t="shared" si="57"/>
        <v>28.082857142857137</v>
      </c>
      <c r="P34" s="2">
        <f t="shared" si="47"/>
        <v>0</v>
      </c>
      <c r="Q34" s="4"/>
      <c r="R34" s="2">
        <f t="shared" si="58"/>
        <v>28.082857142857137</v>
      </c>
      <c r="S34" s="2">
        <f t="shared" si="48"/>
        <v>0</v>
      </c>
      <c r="T34" s="4"/>
      <c r="U34" s="2">
        <f t="shared" si="59"/>
        <v>28.082857142857137</v>
      </c>
      <c r="V34" s="2">
        <f t="shared" si="49"/>
        <v>0</v>
      </c>
      <c r="W34" s="4"/>
      <c r="X34" s="2">
        <f t="shared" si="60"/>
        <v>28.082857142857137</v>
      </c>
      <c r="Y34" s="2">
        <f t="shared" si="50"/>
        <v>0</v>
      </c>
      <c r="Z34" s="4"/>
      <c r="AA34" s="2">
        <f t="shared" si="61"/>
        <v>28.082857142857137</v>
      </c>
      <c r="AB34" s="2">
        <f t="shared" si="51"/>
        <v>0</v>
      </c>
    </row>
    <row r="35" spans="1:28" x14ac:dyDescent="0.25">
      <c r="A35" s="5">
        <v>50</v>
      </c>
      <c r="B35" s="5">
        <f t="shared" si="52"/>
        <v>0.65285714285714291</v>
      </c>
      <c r="C35" s="2">
        <f t="shared" si="53"/>
        <v>27.429999999999993</v>
      </c>
      <c r="D35" s="2">
        <f t="shared" si="43"/>
        <v>0</v>
      </c>
      <c r="F35" s="2">
        <f t="shared" si="54"/>
        <v>27.429999999999993</v>
      </c>
      <c r="G35" s="2">
        <f t="shared" si="44"/>
        <v>3.5625000000000462</v>
      </c>
      <c r="I35" s="2">
        <f t="shared" si="55"/>
        <v>27.429999999999993</v>
      </c>
      <c r="J35" s="2">
        <f t="shared" si="45"/>
        <v>7.1250000000000924</v>
      </c>
      <c r="L35" s="2">
        <f t="shared" si="56"/>
        <v>27.429999999999993</v>
      </c>
      <c r="M35" s="2">
        <f t="shared" si="46"/>
        <v>10.687500000000139</v>
      </c>
      <c r="O35" s="2">
        <f t="shared" si="57"/>
        <v>27.429999999999993</v>
      </c>
      <c r="P35" s="2">
        <f t="shared" si="47"/>
        <v>14.250000000000185</v>
      </c>
      <c r="R35" s="2">
        <f t="shared" si="58"/>
        <v>27.429999999999993</v>
      </c>
      <c r="S35" s="2">
        <f t="shared" si="48"/>
        <v>17.812500000000231</v>
      </c>
      <c r="U35" s="2">
        <f t="shared" si="59"/>
        <v>27.429999999999993</v>
      </c>
      <c r="V35" s="2">
        <f t="shared" si="49"/>
        <v>21.375000000000277</v>
      </c>
      <c r="X35" s="2">
        <f t="shared" si="60"/>
        <v>27.429999999999993</v>
      </c>
      <c r="Y35" s="2">
        <f t="shared" si="50"/>
        <v>24.937500000000323</v>
      </c>
      <c r="AA35" s="2">
        <f t="shared" si="61"/>
        <v>27.429999999999993</v>
      </c>
      <c r="AB35" s="2">
        <f t="shared" si="51"/>
        <v>0</v>
      </c>
    </row>
    <row r="36" spans="1:28" x14ac:dyDescent="0.25">
      <c r="A36" s="5">
        <f>SUM(A28:A35)</f>
        <v>700</v>
      </c>
      <c r="B36" s="5">
        <f>SUM(B29:B35)</f>
        <v>4.57</v>
      </c>
      <c r="D36">
        <f>SUM(D28:D35)</f>
        <v>0</v>
      </c>
      <c r="G36" s="2">
        <f t="shared" ref="G36:AB36" si="62">SUM(G28:G35)</f>
        <v>3.5625000000000462</v>
      </c>
      <c r="H36" s="2">
        <f t="shared" si="62"/>
        <v>0</v>
      </c>
      <c r="I36" s="2">
        <f t="shared" si="62"/>
        <v>237.71999999999997</v>
      </c>
      <c r="J36" s="2">
        <f t="shared" si="62"/>
        <v>7.1250000000000924</v>
      </c>
      <c r="K36" s="2">
        <f t="shared" si="62"/>
        <v>0</v>
      </c>
      <c r="L36" s="2">
        <f t="shared" si="62"/>
        <v>237.71999999999997</v>
      </c>
      <c r="M36" s="2">
        <f t="shared" si="62"/>
        <v>10.687500000000139</v>
      </c>
      <c r="N36" s="2">
        <f t="shared" si="62"/>
        <v>0</v>
      </c>
      <c r="O36" s="2">
        <f t="shared" si="62"/>
        <v>237.71999999999997</v>
      </c>
      <c r="P36" s="2">
        <f t="shared" si="62"/>
        <v>14.250000000000185</v>
      </c>
      <c r="Q36" s="2">
        <f t="shared" si="62"/>
        <v>0</v>
      </c>
      <c r="R36" s="2">
        <f t="shared" si="62"/>
        <v>237.71999999999997</v>
      </c>
      <c r="S36" s="2">
        <f t="shared" si="62"/>
        <v>17.812500000000231</v>
      </c>
      <c r="T36" s="2">
        <f t="shared" si="62"/>
        <v>0</v>
      </c>
      <c r="U36" s="2">
        <f t="shared" si="62"/>
        <v>237.71999999999997</v>
      </c>
      <c r="V36" s="2">
        <f t="shared" si="62"/>
        <v>21.375000000000277</v>
      </c>
      <c r="W36" s="2">
        <f t="shared" si="62"/>
        <v>0</v>
      </c>
      <c r="X36" s="2">
        <f t="shared" si="62"/>
        <v>237.71999999999997</v>
      </c>
      <c r="Y36" s="2">
        <f t="shared" si="62"/>
        <v>24.937500000000323</v>
      </c>
      <c r="Z36" s="2">
        <f t="shared" si="62"/>
        <v>0</v>
      </c>
      <c r="AA36" s="2">
        <f t="shared" si="62"/>
        <v>237.71999999999997</v>
      </c>
      <c r="AB36" s="2">
        <f t="shared" si="62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36"/>
  <sheetViews>
    <sheetView zoomScale="89" zoomScaleNormal="89" workbookViewId="0">
      <selection activeCell="C25" sqref="C25"/>
    </sheetView>
  </sheetViews>
  <sheetFormatPr defaultRowHeight="15" x14ac:dyDescent="0.25"/>
  <cols>
    <col min="3" max="3" width="15.28515625" customWidth="1"/>
    <col min="4" max="4" width="19.85546875" customWidth="1"/>
  </cols>
  <sheetData>
    <row r="1" spans="1:28" x14ac:dyDescent="0.25">
      <c r="A1" t="s">
        <v>0</v>
      </c>
      <c r="B1">
        <v>28</v>
      </c>
      <c r="F1">
        <v>1</v>
      </c>
      <c r="I1">
        <v>2</v>
      </c>
      <c r="L1">
        <v>3</v>
      </c>
      <c r="O1">
        <v>4</v>
      </c>
      <c r="R1">
        <v>5</v>
      </c>
      <c r="U1">
        <v>6</v>
      </c>
      <c r="X1">
        <v>7</v>
      </c>
      <c r="AA1">
        <v>8</v>
      </c>
    </row>
    <row r="2" spans="1:28" x14ac:dyDescent="0.25">
      <c r="A2" t="s">
        <v>1</v>
      </c>
      <c r="F2">
        <v>3.5</v>
      </c>
      <c r="G2" s="3" t="s">
        <v>8</v>
      </c>
      <c r="H2" s="3"/>
      <c r="I2">
        <f>span/8*I1</f>
        <v>7</v>
      </c>
      <c r="J2">
        <f>span/8*J1</f>
        <v>0</v>
      </c>
      <c r="L2">
        <f>span/8*L1</f>
        <v>10.5</v>
      </c>
      <c r="M2">
        <f>span/8*M1</f>
        <v>0</v>
      </c>
      <c r="O2">
        <f>span/8*O1</f>
        <v>14</v>
      </c>
      <c r="P2">
        <f>span/8*P1</f>
        <v>0</v>
      </c>
      <c r="R2">
        <f>span/8*R1</f>
        <v>17.5</v>
      </c>
      <c r="S2">
        <f>span/8*S1</f>
        <v>0</v>
      </c>
      <c r="U2">
        <f>span/8*U1</f>
        <v>21</v>
      </c>
      <c r="V2">
        <f>span/8*V1</f>
        <v>0</v>
      </c>
      <c r="X2">
        <f>span/8*X1</f>
        <v>24.5</v>
      </c>
      <c r="Y2">
        <f>span/8*Y1</f>
        <v>0</v>
      </c>
      <c r="AA2">
        <f>span/8*AA1</f>
        <v>28</v>
      </c>
    </row>
    <row r="3" spans="1:28" ht="30" x14ac:dyDescent="0.25">
      <c r="A3" s="1" t="s">
        <v>2</v>
      </c>
      <c r="B3" s="1" t="s">
        <v>7</v>
      </c>
      <c r="C3" s="1" t="s">
        <v>6</v>
      </c>
      <c r="D3" s="1" t="s">
        <v>4</v>
      </c>
    </row>
    <row r="4" spans="1:28" x14ac:dyDescent="0.25">
      <c r="A4">
        <v>27</v>
      </c>
      <c r="B4">
        <v>0</v>
      </c>
      <c r="C4" s="2">
        <v>43.700000000000351</v>
      </c>
      <c r="D4" s="2">
        <f t="shared" ref="D4:D11" si="0">findsf(span,C4,0)*A4</f>
        <v>0</v>
      </c>
      <c r="F4" s="2">
        <v>43.700000000000351</v>
      </c>
      <c r="G4" s="2">
        <f t="shared" ref="G4:G11" si="1">findsf(span,F4,F$2)*$A4</f>
        <v>0</v>
      </c>
      <c r="I4" s="2">
        <v>43.700000000000351</v>
      </c>
      <c r="J4" s="2">
        <f t="shared" ref="J4:J11" si="2">findsf(span,I4,I$2)*$A4</f>
        <v>0</v>
      </c>
      <c r="L4" s="2">
        <v>43.700000000000351</v>
      </c>
      <c r="M4" s="2">
        <f t="shared" ref="M4:M10" si="3">findsf(span,L4,L$2)*$A4</f>
        <v>0</v>
      </c>
      <c r="O4" s="2">
        <v>43.700000000000351</v>
      </c>
      <c r="P4" s="2">
        <f t="shared" ref="P4:P11" si="4">findsf(span,O4,O$2)*$A4</f>
        <v>0</v>
      </c>
      <c r="R4" s="2">
        <v>43.700000000000351</v>
      </c>
      <c r="S4" s="2">
        <f t="shared" ref="S4:S11" si="5">findsf(span,R4,R$2)*$A4</f>
        <v>0</v>
      </c>
      <c r="U4" s="2">
        <v>43.700000000000351</v>
      </c>
      <c r="V4" s="2">
        <f t="shared" ref="V4:V11" si="6">findsf(span,U4,U$2)*$A4</f>
        <v>0</v>
      </c>
      <c r="X4" s="2">
        <v>43.700000000000351</v>
      </c>
      <c r="Y4" s="2">
        <f t="shared" ref="Y4:Y11" si="7">findsf(span,X4,X$2)*$A4</f>
        <v>0</v>
      </c>
      <c r="AA4" s="2">
        <v>43.700000000000351</v>
      </c>
      <c r="AB4" s="2">
        <f t="shared" ref="AB4:AB11" si="8">findsf(span,AA4,AA$2)*$A4</f>
        <v>0</v>
      </c>
    </row>
    <row r="5" spans="1:28" x14ac:dyDescent="0.25">
      <c r="A5">
        <v>27</v>
      </c>
      <c r="B5">
        <v>1.1000000000000001</v>
      </c>
      <c r="C5" s="2">
        <f>C4-B5</f>
        <v>42.60000000000035</v>
      </c>
      <c r="D5" s="2">
        <f t="shared" si="0"/>
        <v>0</v>
      </c>
      <c r="F5" s="2">
        <f>F4-$B5</f>
        <v>42.60000000000035</v>
      </c>
      <c r="G5" s="2">
        <f t="shared" si="1"/>
        <v>0</v>
      </c>
      <c r="I5" s="2">
        <f>I4-$B5</f>
        <v>42.60000000000035</v>
      </c>
      <c r="J5" s="2">
        <f t="shared" si="2"/>
        <v>0</v>
      </c>
      <c r="L5" s="2">
        <f>L4-$B5</f>
        <v>42.60000000000035</v>
      </c>
      <c r="M5" s="2">
        <f t="shared" si="3"/>
        <v>0</v>
      </c>
      <c r="O5" s="2">
        <f>O4-$B5</f>
        <v>42.60000000000035</v>
      </c>
      <c r="P5" s="2">
        <f t="shared" si="4"/>
        <v>0</v>
      </c>
      <c r="R5" s="2">
        <f>R4-$B5</f>
        <v>42.60000000000035</v>
      </c>
      <c r="S5" s="2">
        <f t="shared" si="5"/>
        <v>0</v>
      </c>
      <c r="U5" s="2">
        <f>U4-$B5</f>
        <v>42.60000000000035</v>
      </c>
      <c r="V5" s="2">
        <f t="shared" si="6"/>
        <v>0</v>
      </c>
      <c r="X5" s="2">
        <f>X4-$B5</f>
        <v>42.60000000000035</v>
      </c>
      <c r="Y5" s="2">
        <f t="shared" si="7"/>
        <v>0</v>
      </c>
      <c r="AA5" s="2">
        <f>AA4-$B5</f>
        <v>42.60000000000035</v>
      </c>
      <c r="AB5" s="2">
        <f t="shared" si="8"/>
        <v>0</v>
      </c>
    </row>
    <row r="6" spans="1:28" x14ac:dyDescent="0.25">
      <c r="A6">
        <v>114</v>
      </c>
      <c r="B6">
        <v>3.2</v>
      </c>
      <c r="C6" s="2">
        <f t="shared" ref="C6:C11" si="9">C5-B6</f>
        <v>39.400000000000347</v>
      </c>
      <c r="D6" s="2">
        <f t="shared" si="0"/>
        <v>0</v>
      </c>
      <c r="F6" s="2">
        <f t="shared" ref="F6:F11" si="10">F5-$B6</f>
        <v>39.400000000000347</v>
      </c>
      <c r="G6" s="2">
        <f t="shared" si="1"/>
        <v>0</v>
      </c>
      <c r="I6" s="2">
        <f t="shared" ref="I6:I10" si="11">I5-$B6</f>
        <v>39.400000000000347</v>
      </c>
      <c r="J6" s="2">
        <f t="shared" si="2"/>
        <v>0</v>
      </c>
      <c r="L6" s="2">
        <f t="shared" ref="L6:L11" si="12">L5-$B6</f>
        <v>39.400000000000347</v>
      </c>
      <c r="M6" s="2">
        <f t="shared" si="3"/>
        <v>0</v>
      </c>
      <c r="O6" s="2">
        <f t="shared" ref="O6:O11" si="13">O5-$B6</f>
        <v>39.400000000000347</v>
      </c>
      <c r="P6" s="2">
        <f t="shared" si="4"/>
        <v>0</v>
      </c>
      <c r="R6" s="2">
        <f t="shared" ref="R6:R11" si="14">R5-$B6</f>
        <v>39.400000000000347</v>
      </c>
      <c r="S6" s="2">
        <f t="shared" si="5"/>
        <v>0</v>
      </c>
      <c r="U6" s="2">
        <f t="shared" ref="U6:U11" si="15">U5-$B6</f>
        <v>39.400000000000347</v>
      </c>
      <c r="V6" s="2">
        <f t="shared" si="6"/>
        <v>0</v>
      </c>
      <c r="X6" s="2">
        <f t="shared" ref="X6:X11" si="16">X5-$B6</f>
        <v>39.400000000000347</v>
      </c>
      <c r="Y6" s="2">
        <f t="shared" si="7"/>
        <v>0</v>
      </c>
      <c r="AA6" s="2">
        <f t="shared" ref="AA6:AA10" si="17">AA5-$B6</f>
        <v>39.400000000000347</v>
      </c>
      <c r="AB6" s="2">
        <f t="shared" si="8"/>
        <v>0</v>
      </c>
    </row>
    <row r="7" spans="1:28" x14ac:dyDescent="0.25">
      <c r="A7">
        <v>114</v>
      </c>
      <c r="B7">
        <v>1.2</v>
      </c>
      <c r="C7" s="2">
        <f t="shared" si="9"/>
        <v>38.200000000000344</v>
      </c>
      <c r="D7" s="2">
        <f t="shared" si="0"/>
        <v>0</v>
      </c>
      <c r="F7" s="2">
        <f t="shared" si="10"/>
        <v>38.200000000000344</v>
      </c>
      <c r="G7" s="2">
        <f t="shared" si="1"/>
        <v>0</v>
      </c>
      <c r="I7" s="2">
        <f t="shared" si="11"/>
        <v>38.200000000000344</v>
      </c>
      <c r="J7" s="2">
        <f t="shared" si="2"/>
        <v>0</v>
      </c>
      <c r="L7" s="2">
        <f t="shared" si="12"/>
        <v>38.200000000000344</v>
      </c>
      <c r="M7" s="2">
        <f t="shared" si="3"/>
        <v>0</v>
      </c>
      <c r="O7" s="2">
        <f t="shared" si="13"/>
        <v>38.200000000000344</v>
      </c>
      <c r="P7" s="2">
        <f t="shared" si="4"/>
        <v>0</v>
      </c>
      <c r="R7" s="2">
        <f t="shared" si="14"/>
        <v>38.200000000000344</v>
      </c>
      <c r="S7" s="2">
        <f t="shared" si="5"/>
        <v>0</v>
      </c>
      <c r="U7" s="2">
        <f t="shared" si="15"/>
        <v>38.200000000000344</v>
      </c>
      <c r="V7" s="2">
        <f t="shared" si="6"/>
        <v>0</v>
      </c>
      <c r="X7" s="2">
        <f t="shared" si="16"/>
        <v>38.200000000000344</v>
      </c>
      <c r="Y7" s="2">
        <f t="shared" si="7"/>
        <v>0</v>
      </c>
      <c r="AA7" s="2">
        <f t="shared" si="17"/>
        <v>38.200000000000344</v>
      </c>
      <c r="AB7" s="2">
        <f t="shared" si="8"/>
        <v>0</v>
      </c>
    </row>
    <row r="8" spans="1:28" x14ac:dyDescent="0.25">
      <c r="A8">
        <v>68</v>
      </c>
      <c r="B8">
        <v>4.3</v>
      </c>
      <c r="C8" s="2">
        <f t="shared" si="9"/>
        <v>33.900000000000347</v>
      </c>
      <c r="D8" s="2">
        <f t="shared" si="0"/>
        <v>0</v>
      </c>
      <c r="F8" s="2">
        <f t="shared" si="10"/>
        <v>33.900000000000347</v>
      </c>
      <c r="G8" s="2">
        <f t="shared" si="1"/>
        <v>0</v>
      </c>
      <c r="I8" s="2">
        <f t="shared" si="11"/>
        <v>33.900000000000347</v>
      </c>
      <c r="J8" s="2">
        <f t="shared" si="2"/>
        <v>0</v>
      </c>
      <c r="L8" s="2">
        <f t="shared" si="12"/>
        <v>33.900000000000347</v>
      </c>
      <c r="M8" s="2">
        <f t="shared" si="3"/>
        <v>0</v>
      </c>
      <c r="O8" s="2">
        <f t="shared" si="13"/>
        <v>33.900000000000347</v>
      </c>
      <c r="P8" s="2">
        <f t="shared" si="4"/>
        <v>0</v>
      </c>
      <c r="R8" s="2">
        <f t="shared" si="14"/>
        <v>33.900000000000347</v>
      </c>
      <c r="S8" s="2">
        <f t="shared" si="5"/>
        <v>0</v>
      </c>
      <c r="U8" s="2">
        <f t="shared" si="15"/>
        <v>33.900000000000347</v>
      </c>
      <c r="V8" s="2">
        <f t="shared" si="6"/>
        <v>0</v>
      </c>
      <c r="X8" s="2">
        <f t="shared" si="16"/>
        <v>33.900000000000347</v>
      </c>
      <c r="Y8" s="2">
        <f t="shared" si="7"/>
        <v>0</v>
      </c>
      <c r="AA8" s="2">
        <f t="shared" si="17"/>
        <v>33.900000000000347</v>
      </c>
      <c r="AB8" s="2">
        <f t="shared" si="8"/>
        <v>0</v>
      </c>
    </row>
    <row r="9" spans="1:28" x14ac:dyDescent="0.25">
      <c r="A9">
        <v>68</v>
      </c>
      <c r="B9">
        <v>3</v>
      </c>
      <c r="C9" s="2">
        <f t="shared" si="9"/>
        <v>30.900000000000347</v>
      </c>
      <c r="D9" s="2">
        <f t="shared" si="0"/>
        <v>0</v>
      </c>
      <c r="F9" s="2">
        <f t="shared" si="10"/>
        <v>30.900000000000347</v>
      </c>
      <c r="G9" s="2">
        <f t="shared" si="1"/>
        <v>0</v>
      </c>
      <c r="I9" s="2">
        <f t="shared" si="11"/>
        <v>30.900000000000347</v>
      </c>
      <c r="J9" s="2">
        <f t="shared" si="2"/>
        <v>0</v>
      </c>
      <c r="L9" s="2">
        <f t="shared" si="12"/>
        <v>30.900000000000347</v>
      </c>
      <c r="M9" s="2">
        <f t="shared" si="3"/>
        <v>0</v>
      </c>
      <c r="O9" s="2">
        <f t="shared" si="13"/>
        <v>30.900000000000347</v>
      </c>
      <c r="P9" s="2">
        <f t="shared" si="4"/>
        <v>0</v>
      </c>
      <c r="R9" s="2">
        <f t="shared" si="14"/>
        <v>30.900000000000347</v>
      </c>
      <c r="S9" s="2">
        <f t="shared" si="5"/>
        <v>0</v>
      </c>
      <c r="U9" s="2">
        <f t="shared" si="15"/>
        <v>30.900000000000347</v>
      </c>
      <c r="V9" s="2">
        <f t="shared" si="6"/>
        <v>0</v>
      </c>
      <c r="X9" s="2">
        <f t="shared" si="16"/>
        <v>30.900000000000347</v>
      </c>
      <c r="Y9" s="2">
        <f t="shared" si="7"/>
        <v>0</v>
      </c>
      <c r="AA9" s="2">
        <f t="shared" si="17"/>
        <v>30.900000000000347</v>
      </c>
      <c r="AB9" s="2">
        <f t="shared" si="8"/>
        <v>0</v>
      </c>
    </row>
    <row r="10" spans="1:28" x14ac:dyDescent="0.25">
      <c r="A10">
        <v>68</v>
      </c>
      <c r="B10">
        <v>3</v>
      </c>
      <c r="C10" s="2">
        <f t="shared" si="9"/>
        <v>27.900000000000347</v>
      </c>
      <c r="D10" s="2">
        <f t="shared" si="0"/>
        <v>0.24285714285630075</v>
      </c>
      <c r="F10" s="2">
        <f t="shared" si="10"/>
        <v>27.900000000000347</v>
      </c>
      <c r="G10" s="2">
        <f>findsf(span,F10,F$2)*$A10</f>
        <v>0.24285714285630075</v>
      </c>
      <c r="I10" s="2">
        <f t="shared" si="11"/>
        <v>27.900000000000347</v>
      </c>
      <c r="J10" s="2">
        <f t="shared" si="2"/>
        <v>0.24285714285630075</v>
      </c>
      <c r="L10" s="2">
        <f t="shared" si="12"/>
        <v>27.900000000000347</v>
      </c>
      <c r="M10" s="2">
        <f t="shared" si="3"/>
        <v>0.24285714285630075</v>
      </c>
      <c r="O10" s="2">
        <f t="shared" si="13"/>
        <v>27.900000000000347</v>
      </c>
      <c r="P10" s="2">
        <f t="shared" si="4"/>
        <v>0.24285714285630075</v>
      </c>
      <c r="R10" s="2">
        <f t="shared" si="14"/>
        <v>27.900000000000347</v>
      </c>
      <c r="S10" s="2">
        <f t="shared" si="5"/>
        <v>0.24285714285630075</v>
      </c>
      <c r="U10" s="2">
        <f t="shared" si="15"/>
        <v>27.900000000000347</v>
      </c>
      <c r="V10" s="2">
        <f t="shared" si="6"/>
        <v>0.24285714285630075</v>
      </c>
      <c r="X10" s="2">
        <f t="shared" si="16"/>
        <v>27.900000000000347</v>
      </c>
      <c r="Y10" s="2">
        <f t="shared" si="7"/>
        <v>0.24285714285630075</v>
      </c>
      <c r="AA10" s="2">
        <f t="shared" si="17"/>
        <v>27.900000000000347</v>
      </c>
      <c r="AB10" s="2">
        <f t="shared" si="8"/>
        <v>-67.757142857143691</v>
      </c>
    </row>
    <row r="11" spans="1:28" x14ac:dyDescent="0.25">
      <c r="A11" s="5">
        <v>68</v>
      </c>
      <c r="B11" s="5">
        <v>3</v>
      </c>
      <c r="C11" s="2">
        <f t="shared" si="9"/>
        <v>24.900000000000347</v>
      </c>
      <c r="D11" s="2">
        <f t="shared" si="0"/>
        <v>7.5285714285705865</v>
      </c>
      <c r="F11" s="6">
        <f t="shared" si="10"/>
        <v>24.900000000000347</v>
      </c>
      <c r="G11" s="2">
        <f t="shared" si="1"/>
        <v>7.5285714285705865</v>
      </c>
      <c r="H11" s="4"/>
      <c r="I11" s="6">
        <f>I10-$B11</f>
        <v>24.900000000000347</v>
      </c>
      <c r="J11" s="2">
        <f t="shared" si="2"/>
        <v>7.5285714285705865</v>
      </c>
      <c r="K11" s="4"/>
      <c r="L11" s="6">
        <f t="shared" si="12"/>
        <v>24.900000000000347</v>
      </c>
      <c r="M11" s="2">
        <f>findsf(span,L11,L$2)*$A11</f>
        <v>7.5285714285705865</v>
      </c>
      <c r="N11" s="4"/>
      <c r="O11" s="6">
        <f t="shared" si="13"/>
        <v>24.900000000000347</v>
      </c>
      <c r="P11" s="2">
        <f t="shared" si="4"/>
        <v>7.5285714285705865</v>
      </c>
      <c r="Q11" s="4"/>
      <c r="R11" s="6">
        <f t="shared" si="14"/>
        <v>24.900000000000347</v>
      </c>
      <c r="S11" s="2">
        <f t="shared" si="5"/>
        <v>7.5285714285705865</v>
      </c>
      <c r="T11" s="4"/>
      <c r="U11" s="6">
        <f t="shared" si="15"/>
        <v>24.900000000000347</v>
      </c>
      <c r="V11" s="2">
        <f t="shared" si="6"/>
        <v>7.5285714285705865</v>
      </c>
      <c r="W11" s="4"/>
      <c r="X11" s="6">
        <f t="shared" si="16"/>
        <v>24.900000000000347</v>
      </c>
      <c r="Y11" s="2">
        <f t="shared" si="7"/>
        <v>7.5285714285705865</v>
      </c>
      <c r="Z11" s="4"/>
      <c r="AA11" s="2">
        <f>AA9-$B11</f>
        <v>27.900000000000347</v>
      </c>
      <c r="AB11" s="2">
        <f t="shared" si="8"/>
        <v>-67.757142857143691</v>
      </c>
    </row>
    <row r="12" spans="1:28" x14ac:dyDescent="0.25">
      <c r="B12">
        <f>SUM(B4:B10)</f>
        <v>15.8</v>
      </c>
      <c r="C12" s="2"/>
      <c r="D12">
        <f>SUM(D4:D11)</f>
        <v>7.7714285714268874</v>
      </c>
      <c r="G12">
        <f>SUM(G4:G11)</f>
        <v>7.7714285714268874</v>
      </c>
      <c r="J12">
        <f>SUM(J4:J11)</f>
        <v>7.7714285714268874</v>
      </c>
      <c r="M12">
        <f>SUM(M4:M11)</f>
        <v>7.7714285714268874</v>
      </c>
      <c r="P12">
        <f>SUM(P4:P11)</f>
        <v>7.7714285714268874</v>
      </c>
      <c r="S12">
        <f>SUM(S4:S11)</f>
        <v>7.7714285714268874</v>
      </c>
      <c r="V12">
        <f>SUM(V4:V11)</f>
        <v>7.7714285714268874</v>
      </c>
      <c r="Y12">
        <f>SUM(Y4:Y11)</f>
        <v>7.7714285714268874</v>
      </c>
      <c r="AB12">
        <f>SUM(AB4:AB11)</f>
        <v>-135.51428571428738</v>
      </c>
    </row>
    <row r="15" spans="1:28" x14ac:dyDescent="0.25">
      <c r="A15" t="s">
        <v>3</v>
      </c>
    </row>
    <row r="16" spans="1:28" x14ac:dyDescent="0.25">
      <c r="A16">
        <v>80</v>
      </c>
      <c r="B16">
        <v>0</v>
      </c>
      <c r="C16" s="2">
        <v>41.300000000000317</v>
      </c>
      <c r="D16" s="2">
        <f t="shared" ref="D16:D21" si="18">A16*findsf(span,C16,0)</f>
        <v>0</v>
      </c>
      <c r="F16" s="2">
        <v>41.300000000000317</v>
      </c>
      <c r="G16" s="2">
        <f t="shared" ref="G16:G22" si="19">findsf(span,F16,F$2)*$A16</f>
        <v>0</v>
      </c>
      <c r="I16" s="2">
        <v>41.300000000000317</v>
      </c>
      <c r="J16" s="2">
        <f t="shared" ref="J16:J22" si="20">findsf(span,I16,I$2)*$A16</f>
        <v>0</v>
      </c>
      <c r="L16" s="2">
        <v>41.300000000000317</v>
      </c>
      <c r="M16" s="2">
        <f t="shared" ref="M16:M22" si="21">findsf(span,L16,L$2)*$A16</f>
        <v>0</v>
      </c>
      <c r="O16" s="2">
        <v>41.300000000000317</v>
      </c>
      <c r="P16" s="2">
        <f t="shared" ref="P16:P22" si="22">findsf(span,O16,O$2)*$A16</f>
        <v>0</v>
      </c>
      <c r="R16" s="2">
        <v>41.300000000000317</v>
      </c>
      <c r="S16" s="2">
        <f t="shared" ref="S16:S22" si="23">findsf(span,R16,R$2)*$A16</f>
        <v>0</v>
      </c>
      <c r="U16" s="2">
        <v>41.300000000000317</v>
      </c>
      <c r="V16" s="2">
        <f t="shared" ref="V16:V22" si="24">findsf(span,U16,U$2)*$A16</f>
        <v>0</v>
      </c>
      <c r="X16" s="2">
        <v>41.300000000000317</v>
      </c>
      <c r="Y16" s="2">
        <f t="shared" ref="Y16:Y22" si="25">findsf(span,X16,X$2)*$A16</f>
        <v>0</v>
      </c>
      <c r="AA16" s="2">
        <v>41.300000000000317</v>
      </c>
      <c r="AB16" s="2">
        <f t="shared" ref="AB16:AB22" si="26">findsf(span,AA16,AA$2)*$A16</f>
        <v>0</v>
      </c>
    </row>
    <row r="17" spans="1:28" x14ac:dyDescent="0.25">
      <c r="A17">
        <v>120</v>
      </c>
      <c r="B17">
        <v>3.96</v>
      </c>
      <c r="C17" s="2">
        <f>C16-B17</f>
        <v>37.340000000000316</v>
      </c>
      <c r="D17" s="2">
        <f t="shared" si="18"/>
        <v>0</v>
      </c>
      <c r="F17" s="2">
        <f>F16-$B17</f>
        <v>37.340000000000316</v>
      </c>
      <c r="G17" s="2">
        <f t="shared" si="19"/>
        <v>0</v>
      </c>
      <c r="I17" s="2">
        <f>I16-$B17</f>
        <v>37.340000000000316</v>
      </c>
      <c r="J17" s="2">
        <f t="shared" si="20"/>
        <v>0</v>
      </c>
      <c r="L17" s="2">
        <f>L16-$B17</f>
        <v>37.340000000000316</v>
      </c>
      <c r="M17" s="2">
        <f t="shared" si="21"/>
        <v>0</v>
      </c>
      <c r="O17" s="2">
        <f>O16-$B17</f>
        <v>37.340000000000316</v>
      </c>
      <c r="P17" s="2">
        <f t="shared" si="22"/>
        <v>0</v>
      </c>
      <c r="R17" s="2">
        <f>R16-$B17</f>
        <v>37.340000000000316</v>
      </c>
      <c r="S17" s="2">
        <f t="shared" si="23"/>
        <v>0</v>
      </c>
      <c r="U17" s="2">
        <f>U16-$B17</f>
        <v>37.340000000000316</v>
      </c>
      <c r="V17" s="2">
        <f t="shared" si="24"/>
        <v>0</v>
      </c>
      <c r="X17" s="2">
        <f>X16-$B17</f>
        <v>37.340000000000316</v>
      </c>
      <c r="Y17" s="2">
        <f t="shared" si="25"/>
        <v>0</v>
      </c>
      <c r="AA17" s="2">
        <f>AA16-$B17</f>
        <v>37.340000000000316</v>
      </c>
      <c r="AB17" s="2">
        <f t="shared" si="26"/>
        <v>0</v>
      </c>
    </row>
    <row r="18" spans="1:28" x14ac:dyDescent="0.25">
      <c r="A18">
        <v>120</v>
      </c>
      <c r="B18">
        <v>1.52</v>
      </c>
      <c r="C18" s="2">
        <f t="shared" ref="C18:C22" si="27">C17-B18</f>
        <v>35.820000000000313</v>
      </c>
      <c r="D18" s="2">
        <f t="shared" si="18"/>
        <v>0</v>
      </c>
      <c r="F18" s="2">
        <f t="shared" ref="F18:F22" si="28">F17-$B18</f>
        <v>35.820000000000313</v>
      </c>
      <c r="G18" s="2">
        <f t="shared" si="19"/>
        <v>0</v>
      </c>
      <c r="I18" s="2">
        <f t="shared" ref="I18:I22" si="29">I17-$B18</f>
        <v>35.820000000000313</v>
      </c>
      <c r="J18" s="2">
        <f t="shared" si="20"/>
        <v>0</v>
      </c>
      <c r="L18" s="2">
        <f t="shared" ref="L18:L22" si="30">L17-$B18</f>
        <v>35.820000000000313</v>
      </c>
      <c r="M18" s="2">
        <f t="shared" si="21"/>
        <v>0</v>
      </c>
      <c r="O18" s="2">
        <f t="shared" ref="O18:O22" si="31">O17-$B18</f>
        <v>35.820000000000313</v>
      </c>
      <c r="P18" s="2">
        <f t="shared" si="22"/>
        <v>0</v>
      </c>
      <c r="R18" s="2">
        <f t="shared" ref="R18:R22" si="32">R17-$B18</f>
        <v>35.820000000000313</v>
      </c>
      <c r="S18" s="2">
        <f t="shared" si="23"/>
        <v>0</v>
      </c>
      <c r="U18" s="2">
        <f t="shared" ref="U18:U22" si="33">U17-$B18</f>
        <v>35.820000000000313</v>
      </c>
      <c r="V18" s="2">
        <f t="shared" si="24"/>
        <v>0</v>
      </c>
      <c r="X18" s="2">
        <f t="shared" ref="X18:X22" si="34">X17-$B18</f>
        <v>35.820000000000313</v>
      </c>
      <c r="Y18" s="2">
        <f t="shared" si="25"/>
        <v>0</v>
      </c>
      <c r="AA18" s="2">
        <f t="shared" ref="AA18:AA22" si="35">AA17-$B18</f>
        <v>35.820000000000313</v>
      </c>
      <c r="AB18" s="2">
        <f t="shared" si="26"/>
        <v>0</v>
      </c>
    </row>
    <row r="19" spans="1:28" x14ac:dyDescent="0.25">
      <c r="A19">
        <v>170</v>
      </c>
      <c r="B19">
        <v>2.13</v>
      </c>
      <c r="C19" s="2">
        <f t="shared" si="27"/>
        <v>33.69000000000031</v>
      </c>
      <c r="D19" s="2">
        <f t="shared" si="18"/>
        <v>0</v>
      </c>
      <c r="F19" s="2">
        <f t="shared" si="28"/>
        <v>33.69000000000031</v>
      </c>
      <c r="G19" s="2">
        <f t="shared" si="19"/>
        <v>0</v>
      </c>
      <c r="I19" s="2">
        <f t="shared" si="29"/>
        <v>33.69000000000031</v>
      </c>
      <c r="J19" s="2">
        <f t="shared" si="20"/>
        <v>0</v>
      </c>
      <c r="L19" s="2">
        <f t="shared" si="30"/>
        <v>33.69000000000031</v>
      </c>
      <c r="M19" s="2">
        <f t="shared" si="21"/>
        <v>0</v>
      </c>
      <c r="O19" s="2">
        <f t="shared" si="31"/>
        <v>33.69000000000031</v>
      </c>
      <c r="P19" s="2">
        <f t="shared" si="22"/>
        <v>0</v>
      </c>
      <c r="R19" s="2">
        <f t="shared" si="32"/>
        <v>33.69000000000031</v>
      </c>
      <c r="S19" s="2">
        <f t="shared" si="23"/>
        <v>0</v>
      </c>
      <c r="U19" s="2">
        <f t="shared" si="33"/>
        <v>33.69000000000031</v>
      </c>
      <c r="V19" s="2">
        <f t="shared" si="24"/>
        <v>0</v>
      </c>
      <c r="X19" s="2">
        <f t="shared" si="34"/>
        <v>33.69000000000031</v>
      </c>
      <c r="Y19" s="2">
        <f t="shared" si="25"/>
        <v>0</v>
      </c>
      <c r="AA19" s="2">
        <f t="shared" si="35"/>
        <v>33.69000000000031</v>
      </c>
      <c r="AB19" s="2">
        <f t="shared" si="26"/>
        <v>0</v>
      </c>
    </row>
    <row r="20" spans="1:28" x14ac:dyDescent="0.25">
      <c r="A20">
        <v>170</v>
      </c>
      <c r="B20">
        <v>1.37</v>
      </c>
      <c r="C20" s="2">
        <f t="shared" si="27"/>
        <v>32.320000000000313</v>
      </c>
      <c r="D20" s="2">
        <f>A20*findsf(span,C20,0)</f>
        <v>0</v>
      </c>
      <c r="F20" s="2">
        <f t="shared" si="28"/>
        <v>32.320000000000313</v>
      </c>
      <c r="G20" s="2">
        <f>findsf(span,F20,F$2)*$A20</f>
        <v>0</v>
      </c>
      <c r="I20" s="2">
        <f t="shared" si="29"/>
        <v>32.320000000000313</v>
      </c>
      <c r="J20" s="2">
        <f t="shared" si="20"/>
        <v>0</v>
      </c>
      <c r="L20" s="2">
        <f t="shared" si="30"/>
        <v>32.320000000000313</v>
      </c>
      <c r="M20" s="2">
        <f t="shared" si="21"/>
        <v>0</v>
      </c>
      <c r="O20" s="2">
        <f t="shared" si="31"/>
        <v>32.320000000000313</v>
      </c>
      <c r="P20" s="2">
        <f t="shared" si="22"/>
        <v>0</v>
      </c>
      <c r="R20" s="2">
        <f t="shared" si="32"/>
        <v>32.320000000000313</v>
      </c>
      <c r="S20" s="2">
        <f t="shared" si="23"/>
        <v>0</v>
      </c>
      <c r="U20" s="2">
        <f t="shared" si="33"/>
        <v>32.320000000000313</v>
      </c>
      <c r="V20" s="2">
        <f t="shared" si="24"/>
        <v>0</v>
      </c>
      <c r="X20" s="2">
        <f t="shared" si="34"/>
        <v>32.320000000000313</v>
      </c>
      <c r="Y20" s="2">
        <f t="shared" si="25"/>
        <v>0</v>
      </c>
      <c r="AA20" s="2">
        <f t="shared" si="35"/>
        <v>32.320000000000313</v>
      </c>
      <c r="AB20" s="2">
        <f t="shared" si="26"/>
        <v>0</v>
      </c>
    </row>
    <row r="21" spans="1:28" x14ac:dyDescent="0.25">
      <c r="A21">
        <v>170</v>
      </c>
      <c r="B21">
        <v>3.05</v>
      </c>
      <c r="C21" s="2">
        <f t="shared" si="27"/>
        <v>29.270000000000312</v>
      </c>
      <c r="D21" s="2">
        <f t="shared" si="18"/>
        <v>0</v>
      </c>
      <c r="F21" s="2">
        <f t="shared" si="28"/>
        <v>29.270000000000312</v>
      </c>
      <c r="G21" s="2">
        <f t="shared" si="19"/>
        <v>0</v>
      </c>
      <c r="I21" s="2">
        <f t="shared" si="29"/>
        <v>29.270000000000312</v>
      </c>
      <c r="J21" s="2">
        <f t="shared" si="20"/>
        <v>0</v>
      </c>
      <c r="L21" s="2">
        <f t="shared" si="30"/>
        <v>29.270000000000312</v>
      </c>
      <c r="M21" s="2">
        <f t="shared" si="21"/>
        <v>0</v>
      </c>
      <c r="O21" s="2">
        <f t="shared" si="31"/>
        <v>29.270000000000312</v>
      </c>
      <c r="P21" s="2">
        <f t="shared" si="22"/>
        <v>0</v>
      </c>
      <c r="R21" s="2">
        <f t="shared" si="32"/>
        <v>29.270000000000312</v>
      </c>
      <c r="S21" s="2">
        <f t="shared" si="23"/>
        <v>0</v>
      </c>
      <c r="U21" s="2">
        <f t="shared" si="33"/>
        <v>29.270000000000312</v>
      </c>
      <c r="V21" s="2">
        <f t="shared" si="24"/>
        <v>0</v>
      </c>
      <c r="X21" s="2">
        <f t="shared" si="34"/>
        <v>29.270000000000312</v>
      </c>
      <c r="Y21" s="2">
        <f t="shared" si="25"/>
        <v>0</v>
      </c>
      <c r="AA21" s="2">
        <f t="shared" si="35"/>
        <v>29.270000000000312</v>
      </c>
      <c r="AB21" s="2">
        <f t="shared" si="26"/>
        <v>0</v>
      </c>
    </row>
    <row r="22" spans="1:28" x14ac:dyDescent="0.25">
      <c r="A22">
        <v>170</v>
      </c>
      <c r="B22">
        <v>1.37</v>
      </c>
      <c r="C22" s="2">
        <f t="shared" si="27"/>
        <v>27.900000000000311</v>
      </c>
      <c r="D22" s="2">
        <f>A22*findsf(span,C22,0)</f>
        <v>0.60714285714096761</v>
      </c>
      <c r="F22" s="2">
        <f t="shared" si="28"/>
        <v>27.900000000000311</v>
      </c>
      <c r="G22" s="2">
        <f t="shared" si="19"/>
        <v>0.60714285714096761</v>
      </c>
      <c r="I22" s="2">
        <f t="shared" si="29"/>
        <v>27.900000000000311</v>
      </c>
      <c r="J22" s="2">
        <f t="shared" si="20"/>
        <v>0.60714285714096761</v>
      </c>
      <c r="L22" s="2">
        <f t="shared" si="30"/>
        <v>27.900000000000311</v>
      </c>
      <c r="M22" s="2">
        <f t="shared" si="21"/>
        <v>0.60714285714096761</v>
      </c>
      <c r="O22" s="2">
        <f t="shared" si="31"/>
        <v>27.900000000000311</v>
      </c>
      <c r="P22" s="2">
        <f t="shared" si="22"/>
        <v>0.60714285714096761</v>
      </c>
      <c r="R22" s="2">
        <f t="shared" si="32"/>
        <v>27.900000000000311</v>
      </c>
      <c r="S22" s="2">
        <f t="shared" si="23"/>
        <v>0.60714285714096761</v>
      </c>
      <c r="U22" s="2">
        <f t="shared" si="33"/>
        <v>27.900000000000311</v>
      </c>
      <c r="V22" s="2">
        <f t="shared" si="24"/>
        <v>0.60714285714096761</v>
      </c>
      <c r="X22" s="2">
        <f t="shared" si="34"/>
        <v>27.900000000000311</v>
      </c>
      <c r="Y22" s="2">
        <f t="shared" si="25"/>
        <v>0.60714285714096761</v>
      </c>
      <c r="AA22" s="2">
        <f t="shared" si="35"/>
        <v>27.900000000000311</v>
      </c>
      <c r="AB22" s="2">
        <f t="shared" si="26"/>
        <v>-169.39285714285904</v>
      </c>
    </row>
    <row r="23" spans="1:28" x14ac:dyDescent="0.25">
      <c r="C23" s="2"/>
      <c r="D23" s="2"/>
      <c r="F23" s="2"/>
      <c r="G23" s="2"/>
      <c r="I23" s="2"/>
      <c r="J23" s="2"/>
      <c r="L23" s="2"/>
      <c r="M23" s="2"/>
      <c r="O23" s="2"/>
      <c r="P23" s="2"/>
      <c r="R23" s="2"/>
      <c r="S23" s="2"/>
      <c r="U23" s="2"/>
      <c r="V23" s="2"/>
      <c r="X23" s="2"/>
      <c r="Y23" s="2"/>
      <c r="AA23" s="2"/>
      <c r="AB23" s="2"/>
    </row>
    <row r="24" spans="1:28" x14ac:dyDescent="0.25">
      <c r="B24">
        <f>SUM(B16:B22)</f>
        <v>13.400000000000002</v>
      </c>
      <c r="D24">
        <f>SUM(D16:D22)</f>
        <v>0.60714285714096761</v>
      </c>
      <c r="G24">
        <f>SUM(G16:G22)</f>
        <v>0.60714285714096761</v>
      </c>
      <c r="J24">
        <f>SUM(J16:J22)</f>
        <v>0.60714285714096761</v>
      </c>
      <c r="M24">
        <f>SUM(M16:M22)</f>
        <v>0.60714285714096761</v>
      </c>
      <c r="P24">
        <f>SUM(P16:P22)</f>
        <v>0.60714285714096761</v>
      </c>
      <c r="S24">
        <f>SUM(S16:S22)</f>
        <v>0.60714285714096761</v>
      </c>
      <c r="V24">
        <f>SUM(V16:V22)</f>
        <v>0.60714285714096761</v>
      </c>
      <c r="Y24">
        <f>SUM(Y16:Y22)</f>
        <v>0.60714285714096761</v>
      </c>
      <c r="AB24">
        <f>SUM(AB16:AB22)</f>
        <v>-169.39285714285904</v>
      </c>
    </row>
    <row r="27" spans="1:28" x14ac:dyDescent="0.25">
      <c r="A27" t="s">
        <v>5</v>
      </c>
    </row>
    <row r="28" spans="1:28" x14ac:dyDescent="0.25">
      <c r="A28">
        <v>50</v>
      </c>
      <c r="B28">
        <v>0</v>
      </c>
      <c r="C28" s="2">
        <v>32.500000000000192</v>
      </c>
      <c r="D28" s="2">
        <f t="shared" ref="D28:D35" si="36">findsf(span,C28,0)*A28</f>
        <v>0</v>
      </c>
      <c r="F28" s="2">
        <v>32.500000000000192</v>
      </c>
      <c r="G28" s="2">
        <f t="shared" ref="G28:G35" si="37">findsf(span,F28,F$2)*$A28</f>
        <v>0</v>
      </c>
      <c r="I28" s="2">
        <v>32.500000000000192</v>
      </c>
      <c r="J28" s="2">
        <f t="shared" ref="J28:J35" si="38">findsf(span,I28,I$2)*$A28</f>
        <v>0</v>
      </c>
      <c r="L28" s="2">
        <v>32.500000000000192</v>
      </c>
      <c r="M28" s="2">
        <f t="shared" ref="M28:M35" si="39">findsf(span,L28,L$2)*$A28</f>
        <v>0</v>
      </c>
      <c r="O28" s="2">
        <v>32.500000000000192</v>
      </c>
      <c r="P28" s="2">
        <f t="shared" ref="P28:P35" si="40">findsf(span,O28,O$2)*$A28</f>
        <v>0</v>
      </c>
      <c r="R28" s="2">
        <v>32.500000000000192</v>
      </c>
      <c r="S28" s="2">
        <f t="shared" ref="S28:S35" si="41">findsf(span,R28,R$2)*$A28</f>
        <v>0</v>
      </c>
      <c r="U28" s="2">
        <v>32.500000000000192</v>
      </c>
      <c r="V28" s="2">
        <f t="shared" ref="V28:V35" si="42">findsf(span,U28,U$2)*$A28</f>
        <v>0</v>
      </c>
      <c r="X28" s="2">
        <v>32.500000000000192</v>
      </c>
      <c r="Y28" s="2">
        <f t="shared" ref="Y28:Y35" si="43">findsf(span,X28,X$2)*$A28</f>
        <v>0</v>
      </c>
      <c r="AA28" s="2">
        <v>32.500000000000192</v>
      </c>
      <c r="AB28" s="2">
        <f t="shared" ref="AB28:AB35" si="44">findsf(span,AA28,AA$2)*$A28</f>
        <v>0</v>
      </c>
    </row>
    <row r="29" spans="1:28" x14ac:dyDescent="0.25">
      <c r="A29">
        <v>100</v>
      </c>
      <c r="B29">
        <f>4.57/7</f>
        <v>0.65285714285714291</v>
      </c>
      <c r="C29" s="2">
        <f>C28-B29</f>
        <v>31.847142857143048</v>
      </c>
      <c r="D29" s="2">
        <f t="shared" si="36"/>
        <v>0</v>
      </c>
      <c r="F29" s="2">
        <f>F28-$B29</f>
        <v>31.847142857143048</v>
      </c>
      <c r="G29" s="2">
        <f t="shared" si="37"/>
        <v>0</v>
      </c>
      <c r="I29" s="2">
        <f>I28-$B29</f>
        <v>31.847142857143048</v>
      </c>
      <c r="J29" s="2">
        <f t="shared" si="38"/>
        <v>0</v>
      </c>
      <c r="L29" s="2">
        <f>L28-$B29</f>
        <v>31.847142857143048</v>
      </c>
      <c r="M29" s="2">
        <f t="shared" si="39"/>
        <v>0</v>
      </c>
      <c r="O29" s="2">
        <f>O28-$B29</f>
        <v>31.847142857143048</v>
      </c>
      <c r="P29" s="2">
        <f t="shared" si="40"/>
        <v>0</v>
      </c>
      <c r="R29" s="2">
        <f>R28-$B29</f>
        <v>31.847142857143048</v>
      </c>
      <c r="S29" s="2">
        <f t="shared" si="41"/>
        <v>0</v>
      </c>
      <c r="U29" s="2">
        <f>U28-$B29</f>
        <v>31.847142857143048</v>
      </c>
      <c r="V29" s="2">
        <f t="shared" si="42"/>
        <v>0</v>
      </c>
      <c r="X29" s="2">
        <f>X28-$B29</f>
        <v>31.847142857143048</v>
      </c>
      <c r="Y29" s="2">
        <f t="shared" si="43"/>
        <v>0</v>
      </c>
      <c r="AA29" s="2">
        <f>AA28-$B29</f>
        <v>31.847142857143048</v>
      </c>
      <c r="AB29" s="2">
        <f t="shared" si="44"/>
        <v>0</v>
      </c>
    </row>
    <row r="30" spans="1:28" x14ac:dyDescent="0.25">
      <c r="A30">
        <v>100</v>
      </c>
      <c r="B30">
        <f t="shared" ref="B30:B35" si="45">4.57/7</f>
        <v>0.65285714285714291</v>
      </c>
      <c r="C30" s="2">
        <f t="shared" ref="C30:C35" si="46">C29-B30</f>
        <v>31.194285714285904</v>
      </c>
      <c r="D30" s="2">
        <f>findsf(span,C30,0)*A30</f>
        <v>0</v>
      </c>
      <c r="F30" s="2">
        <f t="shared" ref="F30:F35" si="47">F29-$B30</f>
        <v>31.194285714285904</v>
      </c>
      <c r="G30" s="2">
        <f t="shared" si="37"/>
        <v>0</v>
      </c>
      <c r="I30" s="2">
        <f t="shared" ref="I30:I35" si="48">I29-$B30</f>
        <v>31.194285714285904</v>
      </c>
      <c r="J30" s="2">
        <f t="shared" si="38"/>
        <v>0</v>
      </c>
      <c r="L30" s="2">
        <f t="shared" ref="L30:L35" si="49">L29-$B30</f>
        <v>31.194285714285904</v>
      </c>
      <c r="M30" s="2">
        <f t="shared" si="39"/>
        <v>0</v>
      </c>
      <c r="O30" s="2">
        <f t="shared" ref="O30:O35" si="50">O29-$B30</f>
        <v>31.194285714285904</v>
      </c>
      <c r="P30" s="2">
        <f t="shared" si="40"/>
        <v>0</v>
      </c>
      <c r="R30" s="2">
        <f t="shared" ref="R30:R35" si="51">R29-$B30</f>
        <v>31.194285714285904</v>
      </c>
      <c r="S30" s="2">
        <f t="shared" si="41"/>
        <v>0</v>
      </c>
      <c r="U30" s="2">
        <f t="shared" ref="U30:U35" si="52">U29-$B30</f>
        <v>31.194285714285904</v>
      </c>
      <c r="V30" s="2">
        <f t="shared" si="42"/>
        <v>0</v>
      </c>
      <c r="X30" s="2">
        <f t="shared" ref="X30:X35" si="53">X29-$B30</f>
        <v>31.194285714285904</v>
      </c>
      <c r="Y30" s="2">
        <f t="shared" si="43"/>
        <v>0</v>
      </c>
      <c r="AA30" s="2">
        <f t="shared" ref="AA30:AA35" si="54">AA29-$B30</f>
        <v>31.194285714285904</v>
      </c>
      <c r="AB30" s="2">
        <f t="shared" si="44"/>
        <v>0</v>
      </c>
    </row>
    <row r="31" spans="1:28" x14ac:dyDescent="0.25">
      <c r="A31">
        <v>100</v>
      </c>
      <c r="B31">
        <f t="shared" si="45"/>
        <v>0.65285714285714291</v>
      </c>
      <c r="C31" s="2">
        <f t="shared" si="46"/>
        <v>30.54142857142876</v>
      </c>
      <c r="D31" s="2">
        <f t="shared" si="36"/>
        <v>0</v>
      </c>
      <c r="F31" s="2">
        <f t="shared" si="47"/>
        <v>30.54142857142876</v>
      </c>
      <c r="G31" s="2">
        <f t="shared" si="37"/>
        <v>0</v>
      </c>
      <c r="I31" s="2">
        <f t="shared" si="48"/>
        <v>30.54142857142876</v>
      </c>
      <c r="J31" s="2">
        <f t="shared" si="38"/>
        <v>0</v>
      </c>
      <c r="L31" s="2">
        <f t="shared" si="49"/>
        <v>30.54142857142876</v>
      </c>
      <c r="M31" s="2">
        <f t="shared" si="39"/>
        <v>0</v>
      </c>
      <c r="O31" s="2">
        <f t="shared" si="50"/>
        <v>30.54142857142876</v>
      </c>
      <c r="P31" s="2">
        <f t="shared" si="40"/>
        <v>0</v>
      </c>
      <c r="R31" s="2">
        <f t="shared" si="51"/>
        <v>30.54142857142876</v>
      </c>
      <c r="S31" s="2">
        <f t="shared" si="41"/>
        <v>0</v>
      </c>
      <c r="U31" s="2">
        <f t="shared" si="52"/>
        <v>30.54142857142876</v>
      </c>
      <c r="V31" s="2">
        <f t="shared" si="42"/>
        <v>0</v>
      </c>
      <c r="X31" s="2">
        <f t="shared" si="53"/>
        <v>30.54142857142876</v>
      </c>
      <c r="Y31" s="2">
        <f t="shared" si="43"/>
        <v>0</v>
      </c>
      <c r="AA31" s="2">
        <f t="shared" si="54"/>
        <v>30.54142857142876</v>
      </c>
      <c r="AB31" s="2">
        <f t="shared" si="44"/>
        <v>0</v>
      </c>
    </row>
    <row r="32" spans="1:28" x14ac:dyDescent="0.25">
      <c r="A32">
        <v>100</v>
      </c>
      <c r="B32">
        <f t="shared" si="45"/>
        <v>0.65285714285714291</v>
      </c>
      <c r="C32" s="2">
        <f t="shared" si="46"/>
        <v>29.888571428571616</v>
      </c>
      <c r="D32" s="2">
        <f t="shared" si="36"/>
        <v>0</v>
      </c>
      <c r="F32" s="2">
        <f t="shared" si="47"/>
        <v>29.888571428571616</v>
      </c>
      <c r="G32" s="2">
        <f t="shared" si="37"/>
        <v>0</v>
      </c>
      <c r="I32" s="2">
        <f t="shared" si="48"/>
        <v>29.888571428571616</v>
      </c>
      <c r="J32" s="2">
        <f t="shared" si="38"/>
        <v>0</v>
      </c>
      <c r="L32" s="2">
        <f t="shared" si="49"/>
        <v>29.888571428571616</v>
      </c>
      <c r="M32" s="2">
        <f t="shared" si="39"/>
        <v>0</v>
      </c>
      <c r="O32" s="2">
        <f t="shared" si="50"/>
        <v>29.888571428571616</v>
      </c>
      <c r="P32" s="2">
        <f t="shared" si="40"/>
        <v>0</v>
      </c>
      <c r="R32" s="2">
        <f t="shared" si="51"/>
        <v>29.888571428571616</v>
      </c>
      <c r="S32" s="2">
        <f t="shared" si="41"/>
        <v>0</v>
      </c>
      <c r="U32" s="2">
        <f t="shared" si="52"/>
        <v>29.888571428571616</v>
      </c>
      <c r="V32" s="2">
        <f t="shared" si="42"/>
        <v>0</v>
      </c>
      <c r="X32" s="2">
        <f t="shared" si="53"/>
        <v>29.888571428571616</v>
      </c>
      <c r="Y32" s="2">
        <f t="shared" si="43"/>
        <v>0</v>
      </c>
      <c r="AA32" s="2">
        <f t="shared" si="54"/>
        <v>29.888571428571616</v>
      </c>
      <c r="AB32" s="2">
        <f t="shared" si="44"/>
        <v>0</v>
      </c>
    </row>
    <row r="33" spans="1:28" x14ac:dyDescent="0.25">
      <c r="A33">
        <v>100</v>
      </c>
      <c r="B33">
        <f t="shared" si="45"/>
        <v>0.65285714285714291</v>
      </c>
      <c r="C33" s="2">
        <f t="shared" si="46"/>
        <v>29.235714285714472</v>
      </c>
      <c r="D33" s="2">
        <f t="shared" si="36"/>
        <v>0</v>
      </c>
      <c r="F33" s="2">
        <f t="shared" si="47"/>
        <v>29.235714285714472</v>
      </c>
      <c r="G33" s="2">
        <f t="shared" si="37"/>
        <v>0</v>
      </c>
      <c r="I33" s="2">
        <f t="shared" si="48"/>
        <v>29.235714285714472</v>
      </c>
      <c r="J33" s="2">
        <f t="shared" si="38"/>
        <v>0</v>
      </c>
      <c r="L33" s="2">
        <f t="shared" si="49"/>
        <v>29.235714285714472</v>
      </c>
      <c r="M33" s="2">
        <f t="shared" si="39"/>
        <v>0</v>
      </c>
      <c r="O33" s="2">
        <f t="shared" si="50"/>
        <v>29.235714285714472</v>
      </c>
      <c r="P33" s="2">
        <f t="shared" si="40"/>
        <v>0</v>
      </c>
      <c r="R33" s="2">
        <f t="shared" si="51"/>
        <v>29.235714285714472</v>
      </c>
      <c r="S33" s="2">
        <f t="shared" si="41"/>
        <v>0</v>
      </c>
      <c r="U33" s="2">
        <f t="shared" si="52"/>
        <v>29.235714285714472</v>
      </c>
      <c r="V33" s="2">
        <f t="shared" si="42"/>
        <v>0</v>
      </c>
      <c r="X33" s="2">
        <f t="shared" si="53"/>
        <v>29.235714285714472</v>
      </c>
      <c r="Y33" s="2">
        <f t="shared" si="43"/>
        <v>0</v>
      </c>
      <c r="AA33" s="2">
        <f t="shared" si="54"/>
        <v>29.235714285714472</v>
      </c>
      <c r="AB33" s="2">
        <f t="shared" si="44"/>
        <v>0</v>
      </c>
    </row>
    <row r="34" spans="1:28" x14ac:dyDescent="0.25">
      <c r="A34">
        <v>100</v>
      </c>
      <c r="B34">
        <f t="shared" si="45"/>
        <v>0.65285714285714291</v>
      </c>
      <c r="C34" s="2">
        <f t="shared" si="46"/>
        <v>28.582857142857328</v>
      </c>
      <c r="D34" s="2">
        <f t="shared" si="36"/>
        <v>0</v>
      </c>
      <c r="F34" s="2">
        <f t="shared" si="47"/>
        <v>28.582857142857328</v>
      </c>
      <c r="G34" s="2">
        <f t="shared" si="37"/>
        <v>0</v>
      </c>
      <c r="I34" s="2">
        <f t="shared" si="48"/>
        <v>28.582857142857328</v>
      </c>
      <c r="J34" s="2">
        <f t="shared" si="38"/>
        <v>0</v>
      </c>
      <c r="L34" s="2">
        <f t="shared" si="49"/>
        <v>28.582857142857328</v>
      </c>
      <c r="M34" s="2">
        <f t="shared" si="39"/>
        <v>0</v>
      </c>
      <c r="O34" s="2">
        <f t="shared" si="50"/>
        <v>28.582857142857328</v>
      </c>
      <c r="P34" s="2">
        <f t="shared" si="40"/>
        <v>0</v>
      </c>
      <c r="R34" s="2">
        <f t="shared" si="51"/>
        <v>28.582857142857328</v>
      </c>
      <c r="S34" s="2">
        <f t="shared" si="41"/>
        <v>0</v>
      </c>
      <c r="U34" s="2">
        <f t="shared" si="52"/>
        <v>28.582857142857328</v>
      </c>
      <c r="V34" s="2">
        <f t="shared" si="42"/>
        <v>0</v>
      </c>
      <c r="X34" s="2">
        <f t="shared" si="53"/>
        <v>28.582857142857328</v>
      </c>
      <c r="Y34" s="2">
        <f t="shared" si="43"/>
        <v>0</v>
      </c>
      <c r="AA34" s="2">
        <f t="shared" si="54"/>
        <v>28.582857142857328</v>
      </c>
      <c r="AB34" s="2">
        <f t="shared" si="44"/>
        <v>0</v>
      </c>
    </row>
    <row r="35" spans="1:28" x14ac:dyDescent="0.25">
      <c r="A35">
        <v>50</v>
      </c>
      <c r="B35">
        <f t="shared" si="45"/>
        <v>0.65285714285714291</v>
      </c>
      <c r="C35" s="2">
        <f t="shared" si="46"/>
        <v>27.930000000000184</v>
      </c>
      <c r="D35" s="2">
        <f t="shared" si="36"/>
        <v>0.12499999999967062</v>
      </c>
      <c r="F35" s="2">
        <f t="shared" si="47"/>
        <v>27.930000000000184</v>
      </c>
      <c r="G35" s="2">
        <f t="shared" si="37"/>
        <v>0.12499999999967062</v>
      </c>
      <c r="I35" s="2">
        <f t="shared" si="48"/>
        <v>27.930000000000184</v>
      </c>
      <c r="J35" s="2">
        <f t="shared" si="38"/>
        <v>0.12499999999967062</v>
      </c>
      <c r="L35" s="2">
        <f t="shared" si="49"/>
        <v>27.930000000000184</v>
      </c>
      <c r="M35" s="2">
        <f t="shared" si="39"/>
        <v>0.12499999999967062</v>
      </c>
      <c r="O35" s="2">
        <f t="shared" si="50"/>
        <v>27.930000000000184</v>
      </c>
      <c r="P35" s="2">
        <f t="shared" si="40"/>
        <v>0.12499999999967062</v>
      </c>
      <c r="R35" s="2">
        <f t="shared" si="51"/>
        <v>27.930000000000184</v>
      </c>
      <c r="S35" s="2">
        <f t="shared" si="41"/>
        <v>0.12499999999967062</v>
      </c>
      <c r="U35" s="2">
        <f t="shared" si="52"/>
        <v>27.930000000000184</v>
      </c>
      <c r="V35" s="2">
        <f t="shared" si="42"/>
        <v>0.12499999999967062</v>
      </c>
      <c r="X35" s="2">
        <f t="shared" si="53"/>
        <v>27.930000000000184</v>
      </c>
      <c r="Y35" s="2">
        <f t="shared" si="43"/>
        <v>0.12499999999967062</v>
      </c>
      <c r="AA35" s="2">
        <f t="shared" si="54"/>
        <v>27.930000000000184</v>
      </c>
      <c r="AB35" s="2">
        <f t="shared" si="44"/>
        <v>-49.875000000000327</v>
      </c>
    </row>
    <row r="36" spans="1:28" x14ac:dyDescent="0.25">
      <c r="A36">
        <f>SUM(A28:A35)</f>
        <v>700</v>
      </c>
      <c r="B36">
        <f>SUM(B29:B35)</f>
        <v>4.57</v>
      </c>
      <c r="D36" s="2">
        <f t="shared" ref="D36:Y36" si="55">SUM(D28:D35)</f>
        <v>0.12499999999967062</v>
      </c>
      <c r="E36" s="2">
        <f t="shared" si="55"/>
        <v>0</v>
      </c>
      <c r="F36" s="2">
        <f t="shared" si="55"/>
        <v>241.72000000000151</v>
      </c>
      <c r="G36" s="2">
        <f t="shared" si="55"/>
        <v>0.12499999999967062</v>
      </c>
      <c r="H36" s="2">
        <f t="shared" si="55"/>
        <v>0</v>
      </c>
      <c r="I36" s="2">
        <f t="shared" si="55"/>
        <v>241.72000000000151</v>
      </c>
      <c r="J36" s="2">
        <f t="shared" si="55"/>
        <v>0.12499999999967062</v>
      </c>
      <c r="K36" s="2">
        <f t="shared" si="55"/>
        <v>0</v>
      </c>
      <c r="L36" s="2">
        <f t="shared" si="55"/>
        <v>241.72000000000151</v>
      </c>
      <c r="M36" s="2">
        <f t="shared" si="55"/>
        <v>0.12499999999967062</v>
      </c>
      <c r="N36" s="2">
        <f t="shared" si="55"/>
        <v>0</v>
      </c>
      <c r="O36" s="2">
        <f t="shared" si="55"/>
        <v>241.72000000000151</v>
      </c>
      <c r="P36" s="2">
        <f t="shared" si="55"/>
        <v>0.12499999999967062</v>
      </c>
      <c r="Q36" s="2">
        <f t="shared" si="55"/>
        <v>0</v>
      </c>
      <c r="R36" s="2">
        <f t="shared" si="55"/>
        <v>241.72000000000151</v>
      </c>
      <c r="S36" s="2">
        <f t="shared" si="55"/>
        <v>0.12499999999967062</v>
      </c>
      <c r="T36" s="2">
        <f t="shared" si="55"/>
        <v>0</v>
      </c>
      <c r="U36" s="2">
        <f t="shared" si="55"/>
        <v>241.72000000000151</v>
      </c>
      <c r="V36" s="2">
        <f t="shared" si="55"/>
        <v>0.12499999999967062</v>
      </c>
      <c r="W36" s="2">
        <f t="shared" si="55"/>
        <v>0</v>
      </c>
      <c r="X36" s="2">
        <f t="shared" si="55"/>
        <v>241.72000000000151</v>
      </c>
      <c r="Y36" s="2">
        <f t="shared" si="55"/>
        <v>0.12499999999967062</v>
      </c>
      <c r="AB36" s="2">
        <f>SUM(AB28:AB35)</f>
        <v>-49.875000000000327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N9"/>
  <sheetViews>
    <sheetView workbookViewId="0">
      <selection activeCell="Q15" sqref="Q15"/>
    </sheetView>
  </sheetViews>
  <sheetFormatPr defaultRowHeight="15" x14ac:dyDescent="0.25"/>
  <cols>
    <col min="2" max="2" width="11.140625" customWidth="1"/>
    <col min="14" max="14" width="13.85546875" customWidth="1"/>
  </cols>
  <sheetData>
    <row r="1" spans="2:14" x14ac:dyDescent="0.25">
      <c r="B1" s="5"/>
      <c r="C1" s="5">
        <v>0</v>
      </c>
      <c r="D1" s="5">
        <v>1</v>
      </c>
      <c r="E1" s="5">
        <v>2</v>
      </c>
      <c r="F1" s="5">
        <v>3</v>
      </c>
      <c r="G1" s="5">
        <v>4</v>
      </c>
      <c r="H1" s="5">
        <v>5</v>
      </c>
      <c r="I1" s="5">
        <v>6</v>
      </c>
      <c r="J1" s="5">
        <v>7</v>
      </c>
      <c r="K1" s="5">
        <v>8</v>
      </c>
      <c r="N1" s="22" t="s">
        <v>42</v>
      </c>
    </row>
    <row r="2" spans="2:14" x14ac:dyDescent="0.25">
      <c r="B2" s="5" t="s">
        <v>12</v>
      </c>
      <c r="C2" s="5">
        <v>0</v>
      </c>
      <c r="D2" s="5">
        <v>1027.1624999999999</v>
      </c>
      <c r="E2" s="5">
        <v>1782.3250000000003</v>
      </c>
      <c r="F2" s="5">
        <v>2261.7375000000002</v>
      </c>
      <c r="G2" s="5">
        <v>2476.6500000000005</v>
      </c>
      <c r="H2" s="5">
        <v>2445.7124999999996</v>
      </c>
      <c r="I2" s="5">
        <v>2021.7750000000005</v>
      </c>
      <c r="J2" s="5">
        <v>1166.2125000000003</v>
      </c>
      <c r="K2" s="5">
        <v>0</v>
      </c>
      <c r="L2" s="24">
        <v>2</v>
      </c>
      <c r="M2">
        <f>G2</f>
        <v>2476.6500000000005</v>
      </c>
      <c r="N2" s="22">
        <f>L2*M2</f>
        <v>4953.3000000000011</v>
      </c>
    </row>
    <row r="3" spans="2:14" x14ac:dyDescent="0.25">
      <c r="B3" s="5" t="s">
        <v>9</v>
      </c>
      <c r="C3" s="5">
        <v>0</v>
      </c>
      <c r="D3" s="5">
        <v>2409.5250000000001</v>
      </c>
      <c r="E3" s="5">
        <v>4075.95</v>
      </c>
      <c r="F3" s="5">
        <v>5010.4750000000004</v>
      </c>
      <c r="G3" s="5">
        <v>5375</v>
      </c>
      <c r="H3" s="5">
        <v>5004.2250000000004</v>
      </c>
      <c r="I3" s="5">
        <v>3906.1499999999996</v>
      </c>
      <c r="J3" s="5">
        <v>2235.6750000000002</v>
      </c>
      <c r="K3" s="5">
        <v>0</v>
      </c>
      <c r="L3" s="24">
        <v>1</v>
      </c>
      <c r="M3">
        <f>G3</f>
        <v>5375</v>
      </c>
      <c r="N3" s="22">
        <f t="shared" ref="N3:N4" si="0">L3*M3</f>
        <v>5375</v>
      </c>
    </row>
    <row r="4" spans="2:14" x14ac:dyDescent="0.25">
      <c r="B4" s="5" t="s">
        <v>10</v>
      </c>
      <c r="C4" s="5">
        <v>0</v>
      </c>
      <c r="D4" s="5">
        <v>1946.4375</v>
      </c>
      <c r="E4" s="5">
        <v>3353.2321428571427</v>
      </c>
      <c r="F4" s="5">
        <v>4204.5267857142862</v>
      </c>
      <c r="G4" s="5">
        <v>4491.9642857142862</v>
      </c>
      <c r="H4" s="5">
        <v>4208.5446428571422</v>
      </c>
      <c r="I4" s="5">
        <v>3365.4107142857138</v>
      </c>
      <c r="J4" s="5">
        <v>1962.5624999999995</v>
      </c>
      <c r="K4" s="5">
        <v>0</v>
      </c>
      <c r="L4" s="24">
        <v>1</v>
      </c>
      <c r="M4">
        <f>G4</f>
        <v>4491.9642857142862</v>
      </c>
      <c r="N4" s="22">
        <f t="shared" si="0"/>
        <v>4491.9642857142862</v>
      </c>
    </row>
    <row r="5" spans="2:14" x14ac:dyDescent="0.25">
      <c r="B5" s="5" t="s">
        <v>11</v>
      </c>
      <c r="C5" s="5"/>
      <c r="D5" s="5"/>
      <c r="E5" s="5"/>
      <c r="F5" s="5"/>
      <c r="G5" s="5"/>
      <c r="H5" s="5"/>
      <c r="I5" s="5"/>
      <c r="J5" s="5"/>
      <c r="K5" s="5"/>
    </row>
    <row r="9" spans="2:14" x14ac:dyDescent="0.25">
      <c r="H9" t="s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8"/>
  <sheetViews>
    <sheetView workbookViewId="0">
      <selection activeCell="G68" sqref="G68"/>
    </sheetView>
  </sheetViews>
  <sheetFormatPr defaultRowHeight="15" x14ac:dyDescent="0.25"/>
  <cols>
    <col min="2" max="2" width="21.5703125" customWidth="1"/>
    <col min="3" max="3" width="19.85546875" customWidth="1"/>
    <col min="4" max="4" width="12" customWidth="1"/>
    <col min="6" max="6" width="20.5703125" customWidth="1"/>
    <col min="8" max="8" width="13.5703125" customWidth="1"/>
    <col min="9" max="9" width="14.5703125" customWidth="1"/>
  </cols>
  <sheetData>
    <row r="1" spans="1:11" ht="15.75" thickBot="1" x14ac:dyDescent="0.3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</row>
    <row r="2" spans="1:11" x14ac:dyDescent="0.25">
      <c r="A2" t="s">
        <v>15</v>
      </c>
      <c r="B2" s="11" t="s">
        <v>16</v>
      </c>
      <c r="C2" s="12">
        <v>0</v>
      </c>
      <c r="D2" s="12">
        <v>3.5</v>
      </c>
      <c r="E2" s="12">
        <f>3.5*E1</f>
        <v>7</v>
      </c>
      <c r="F2" s="12">
        <f t="shared" ref="F2:K2" si="0">3.5*F1</f>
        <v>10.5</v>
      </c>
      <c r="G2" s="12">
        <f t="shared" si="0"/>
        <v>14</v>
      </c>
      <c r="H2" s="12">
        <f t="shared" si="0"/>
        <v>17.5</v>
      </c>
      <c r="I2" s="12">
        <f t="shared" si="0"/>
        <v>21</v>
      </c>
      <c r="J2" s="12">
        <f t="shared" si="0"/>
        <v>24.5</v>
      </c>
      <c r="K2" s="13">
        <f t="shared" si="0"/>
        <v>28</v>
      </c>
    </row>
    <row r="3" spans="1:11" x14ac:dyDescent="0.25">
      <c r="B3" s="14" t="s">
        <v>17</v>
      </c>
      <c r="C3" s="15">
        <v>359.92500000000007</v>
      </c>
      <c r="D3" s="15">
        <v>292.6535714285705</v>
      </c>
      <c r="E3" s="15">
        <v>223.40357142856953</v>
      </c>
      <c r="F3" s="15">
        <v>155.59999999999741</v>
      </c>
      <c r="G3" s="15">
        <v>95.135714285711586</v>
      </c>
      <c r="H3" s="15">
        <v>58.285714285711947</v>
      </c>
      <c r="I3" s="15">
        <v>29.142857142855046</v>
      </c>
      <c r="J3" s="15">
        <v>9.714285714284058</v>
      </c>
      <c r="K3" s="16">
        <v>0</v>
      </c>
    </row>
    <row r="4" spans="1:11" x14ac:dyDescent="0.25">
      <c r="B4" s="14" t="s">
        <v>10</v>
      </c>
      <c r="C4" s="15">
        <v>813.43571428571545</v>
      </c>
      <c r="D4" s="15">
        <v>688.43571428571533</v>
      </c>
      <c r="E4" s="15">
        <v>567.00714285714218</v>
      </c>
      <c r="F4" s="15">
        <v>442.00714285714042</v>
      </c>
      <c r="G4" s="15">
        <v>317.00714285713866</v>
      </c>
      <c r="H4" s="15">
        <v>200.29285714285163</v>
      </c>
      <c r="I4" s="15">
        <v>99.69285714285185</v>
      </c>
      <c r="J4" s="15">
        <v>34.182142857139652</v>
      </c>
      <c r="K4" s="16">
        <v>0</v>
      </c>
    </row>
    <row r="5" spans="1:11" ht="15.75" thickBot="1" x14ac:dyDescent="0.3">
      <c r="B5" s="17" t="s">
        <v>11</v>
      </c>
      <c r="C5" s="18">
        <v>642.125</v>
      </c>
      <c r="D5" s="18">
        <v>554.62500000000034</v>
      </c>
      <c r="E5" s="18">
        <v>467.12500000000051</v>
      </c>
      <c r="F5" s="18">
        <v>379.62500000000085</v>
      </c>
      <c r="G5" s="18">
        <v>292.12500000000023</v>
      </c>
      <c r="H5" s="18">
        <v>204.62499999999901</v>
      </c>
      <c r="I5" s="18">
        <v>117.12499999999774</v>
      </c>
      <c r="J5" s="18">
        <v>33.18622448979319</v>
      </c>
      <c r="K5" s="19">
        <v>0</v>
      </c>
    </row>
    <row r="7" spans="1:11" ht="15.75" thickBot="1" x14ac:dyDescent="0.3"/>
    <row r="8" spans="1:11" x14ac:dyDescent="0.25">
      <c r="B8" s="11" t="s">
        <v>18</v>
      </c>
      <c r="C8" s="12">
        <f>3.5*C1</f>
        <v>0</v>
      </c>
      <c r="D8" s="12">
        <f t="shared" ref="D8:K8" si="1">3.5*D1</f>
        <v>3.5</v>
      </c>
      <c r="E8" s="12">
        <f t="shared" si="1"/>
        <v>7</v>
      </c>
      <c r="F8" s="12">
        <f t="shared" si="1"/>
        <v>10.5</v>
      </c>
      <c r="G8" s="12">
        <f t="shared" si="1"/>
        <v>14</v>
      </c>
      <c r="H8" s="12">
        <f t="shared" si="1"/>
        <v>17.5</v>
      </c>
      <c r="I8" s="12">
        <f t="shared" si="1"/>
        <v>21</v>
      </c>
      <c r="J8" s="12">
        <f t="shared" si="1"/>
        <v>24.5</v>
      </c>
      <c r="K8" s="13">
        <f t="shared" si="1"/>
        <v>28</v>
      </c>
    </row>
    <row r="9" spans="1:11" x14ac:dyDescent="0.25">
      <c r="B9" s="14" t="s">
        <v>17</v>
      </c>
      <c r="C9" s="15">
        <v>0</v>
      </c>
      <c r="D9" s="15">
        <v>-5.4964285714285745</v>
      </c>
      <c r="E9" s="15">
        <v>-29.539285714285629</v>
      </c>
      <c r="F9" s="15">
        <v>-71.096428571428049</v>
      </c>
      <c r="G9" s="15">
        <v>-129.41785714285697</v>
      </c>
      <c r="H9" s="15">
        <v>-195.47500000000073</v>
      </c>
      <c r="I9" s="15">
        <v>-264.72500000000173</v>
      </c>
      <c r="J9" s="15">
        <v>-333.30000000000257</v>
      </c>
      <c r="K9" s="16">
        <v>-403.47142857143189</v>
      </c>
    </row>
    <row r="10" spans="1:11" x14ac:dyDescent="0.25">
      <c r="B10" s="14" t="s">
        <v>10</v>
      </c>
      <c r="C10" s="15">
        <v>0</v>
      </c>
      <c r="D10" s="15">
        <v>-9.7142857142857189</v>
      </c>
      <c r="E10" s="15">
        <v>-39.542857142857045</v>
      </c>
      <c r="F10" s="15">
        <v>-138.7071428571416</v>
      </c>
      <c r="G10" s="15">
        <v>-263.70714285714229</v>
      </c>
      <c r="H10" s="15">
        <v>-388.70714285714405</v>
      </c>
      <c r="I10" s="15">
        <v>-513.70714285714575</v>
      </c>
      <c r="J10" s="15">
        <v>-637.56428571429001</v>
      </c>
      <c r="K10" s="16">
        <v>-752.56428571429183</v>
      </c>
    </row>
    <row r="11" spans="1:11" ht="15.75" thickBot="1" x14ac:dyDescent="0.3">
      <c r="B11" s="17" t="s">
        <v>11</v>
      </c>
      <c r="C11" s="18">
        <v>0</v>
      </c>
      <c r="D11" s="18">
        <v>-31.811224489795944</v>
      </c>
      <c r="E11" s="18">
        <v>-117.87499999999976</v>
      </c>
      <c r="F11" s="18">
        <v>-205.37499999999949</v>
      </c>
      <c r="G11" s="18">
        <v>-292.87499999999926</v>
      </c>
      <c r="H11" s="18">
        <v>-380.37499999999943</v>
      </c>
      <c r="I11" s="18">
        <v>-465.37500000000057</v>
      </c>
      <c r="J11" s="18">
        <v>-552.87500000000182</v>
      </c>
      <c r="K11" s="19">
        <v>-640.37500000000296</v>
      </c>
    </row>
    <row r="15" spans="1:11" ht="36" x14ac:dyDescent="0.55000000000000004">
      <c r="B15" s="20" t="s">
        <v>19</v>
      </c>
    </row>
    <row r="16" spans="1:11" x14ac:dyDescent="0.25">
      <c r="B16" s="5" t="s">
        <v>1</v>
      </c>
      <c r="C16" s="5">
        <f>4.5/(6+span)</f>
        <v>0.13235294117647059</v>
      </c>
    </row>
    <row r="17" spans="2:10" x14ac:dyDescent="0.25">
      <c r="B17" s="5" t="s">
        <v>20</v>
      </c>
      <c r="C17" s="5">
        <f>4.5/(6+span)</f>
        <v>0.13235294117647059</v>
      </c>
    </row>
    <row r="18" spans="2:10" x14ac:dyDescent="0.25">
      <c r="B18" s="5" t="s">
        <v>21</v>
      </c>
      <c r="C18" s="5">
        <f>0.1*C17</f>
        <v>1.323529411764706E-2</v>
      </c>
    </row>
    <row r="22" spans="2:10" x14ac:dyDescent="0.25">
      <c r="C22" t="s">
        <v>28</v>
      </c>
      <c r="E22">
        <v>8.4</v>
      </c>
    </row>
    <row r="24" spans="2:10" x14ac:dyDescent="0.25">
      <c r="J24" s="21">
        <v>0.25</v>
      </c>
    </row>
    <row r="27" spans="2:10" x14ac:dyDescent="0.25">
      <c r="D27" t="s">
        <v>24</v>
      </c>
      <c r="G27" t="s">
        <v>24</v>
      </c>
      <c r="J27" t="s">
        <v>22</v>
      </c>
    </row>
    <row r="30" spans="2:10" x14ac:dyDescent="0.25">
      <c r="J30" t="s">
        <v>23</v>
      </c>
    </row>
    <row r="31" spans="2:10" x14ac:dyDescent="0.25">
      <c r="B31">
        <v>0.3</v>
      </c>
      <c r="E31">
        <v>0.3</v>
      </c>
      <c r="H31" s="21">
        <v>0.3</v>
      </c>
    </row>
    <row r="35" spans="2:11" x14ac:dyDescent="0.25">
      <c r="B35" s="22" t="s">
        <v>25</v>
      </c>
      <c r="E35" s="22"/>
    </row>
    <row r="37" spans="2:11" x14ac:dyDescent="0.25">
      <c r="B37" t="s">
        <v>26</v>
      </c>
      <c r="C37">
        <f>8.4*0.25+0.3*3*2+(2.5*2+0.3*3)*0.25</f>
        <v>5.375</v>
      </c>
    </row>
    <row r="38" spans="2:11" x14ac:dyDescent="0.25">
      <c r="B38" t="s">
        <v>27</v>
      </c>
      <c r="C38">
        <v>25</v>
      </c>
    </row>
    <row r="39" spans="2:11" x14ac:dyDescent="0.25">
      <c r="C39">
        <f>C38*C37</f>
        <v>134.375</v>
      </c>
    </row>
    <row r="41" spans="2:11" x14ac:dyDescent="0.25">
      <c r="B41" s="5"/>
      <c r="C41" s="5">
        <v>0</v>
      </c>
      <c r="D41" s="5">
        <v>1</v>
      </c>
      <c r="E41" s="5">
        <v>2</v>
      </c>
      <c r="F41" s="5">
        <v>3</v>
      </c>
      <c r="G41" s="5">
        <v>4</v>
      </c>
      <c r="H41" s="5">
        <v>5</v>
      </c>
      <c r="I41" s="5">
        <v>6</v>
      </c>
      <c r="J41" s="5">
        <v>7</v>
      </c>
      <c r="K41" s="5">
        <v>8</v>
      </c>
    </row>
    <row r="42" spans="2:11" x14ac:dyDescent="0.25">
      <c r="B42" s="23" t="s">
        <v>30</v>
      </c>
      <c r="C42" s="5">
        <v>0</v>
      </c>
      <c r="D42" s="5">
        <v>3.5</v>
      </c>
      <c r="E42" s="5">
        <f>3.5*E41</f>
        <v>7</v>
      </c>
      <c r="F42" s="5">
        <f t="shared" ref="F42:K42" si="2">3.5*F41</f>
        <v>10.5</v>
      </c>
      <c r="G42" s="5">
        <f t="shared" si="2"/>
        <v>14</v>
      </c>
      <c r="H42" s="5">
        <f t="shared" si="2"/>
        <v>17.5</v>
      </c>
      <c r="I42" s="5">
        <f t="shared" si="2"/>
        <v>21</v>
      </c>
      <c r="J42" s="5">
        <f t="shared" si="2"/>
        <v>24.5</v>
      </c>
      <c r="K42" s="5">
        <f t="shared" si="2"/>
        <v>28</v>
      </c>
    </row>
    <row r="43" spans="2:11" x14ac:dyDescent="0.25">
      <c r="B43" s="5" t="s">
        <v>29</v>
      </c>
      <c r="C43" s="5">
        <f t="shared" ref="C43:K43" si="3">$C$39*C42*span/2-$C$39*C42^2/2</f>
        <v>0</v>
      </c>
      <c r="D43" s="5">
        <f t="shared" si="3"/>
        <v>5761.328125</v>
      </c>
      <c r="E43" s="5">
        <f t="shared" si="3"/>
        <v>9876.5625</v>
      </c>
      <c r="F43" s="5">
        <f t="shared" si="3"/>
        <v>12345.703125</v>
      </c>
      <c r="G43" s="5">
        <f t="shared" si="3"/>
        <v>13168.75</v>
      </c>
      <c r="H43" s="5">
        <f t="shared" si="3"/>
        <v>12345.703125</v>
      </c>
      <c r="I43" s="5">
        <f t="shared" si="3"/>
        <v>9876.5625</v>
      </c>
      <c r="J43" s="5">
        <f t="shared" si="3"/>
        <v>5761.328125</v>
      </c>
      <c r="K43" s="5">
        <f t="shared" si="3"/>
        <v>0</v>
      </c>
    </row>
    <row r="47" spans="2:11" x14ac:dyDescent="0.25">
      <c r="B47" s="22" t="s">
        <v>31</v>
      </c>
      <c r="C47">
        <v>30</v>
      </c>
      <c r="D47" t="s">
        <v>34</v>
      </c>
      <c r="F47" s="22" t="s">
        <v>47</v>
      </c>
      <c r="G47">
        <v>2.5</v>
      </c>
      <c r="H47" t="s">
        <v>46</v>
      </c>
    </row>
    <row r="48" spans="2:11" x14ac:dyDescent="0.25">
      <c r="B48" s="22" t="s">
        <v>48</v>
      </c>
      <c r="C48">
        <v>500</v>
      </c>
      <c r="D48" t="s">
        <v>34</v>
      </c>
      <c r="F48" s="22" t="s">
        <v>49</v>
      </c>
      <c r="G48">
        <v>8.4</v>
      </c>
      <c r="H48" t="s">
        <v>46</v>
      </c>
    </row>
    <row r="49" spans="2:8" x14ac:dyDescent="0.25">
      <c r="B49" s="22" t="s">
        <v>32</v>
      </c>
      <c r="C49">
        <v>200</v>
      </c>
      <c r="D49" t="s">
        <v>35</v>
      </c>
      <c r="F49" s="22" t="s">
        <v>50</v>
      </c>
      <c r="G49">
        <v>0.3</v>
      </c>
      <c r="H49" t="s">
        <v>46</v>
      </c>
    </row>
    <row r="50" spans="2:8" x14ac:dyDescent="0.25">
      <c r="B50" s="22" t="s">
        <v>33</v>
      </c>
      <c r="C50">
        <f>C48*1.15/(C49*1000)</f>
        <v>2.875E-3</v>
      </c>
      <c r="D50" t="s">
        <v>36</v>
      </c>
      <c r="F50" s="22" t="s">
        <v>51</v>
      </c>
      <c r="G50">
        <v>3</v>
      </c>
      <c r="H50" t="s">
        <v>53</v>
      </c>
    </row>
    <row r="51" spans="2:8" x14ac:dyDescent="0.25">
      <c r="B51" s="22" t="s">
        <v>45</v>
      </c>
      <c r="C51">
        <v>0.15</v>
      </c>
      <c r="D51" t="s">
        <v>46</v>
      </c>
      <c r="F51" s="22" t="s">
        <v>52</v>
      </c>
      <c r="G51">
        <v>0.3</v>
      </c>
      <c r="H51" t="s">
        <v>46</v>
      </c>
    </row>
    <row r="55" spans="2:8" x14ac:dyDescent="0.25">
      <c r="B55" s="25" t="s">
        <v>37</v>
      </c>
      <c r="C55" s="5"/>
      <c r="D55" s="5"/>
      <c r="E55" s="5" t="s">
        <v>41</v>
      </c>
      <c r="F55" s="5" t="s">
        <v>43</v>
      </c>
    </row>
    <row r="56" spans="2:8" x14ac:dyDescent="0.25">
      <c r="B56" s="5" t="s">
        <v>38</v>
      </c>
      <c r="C56" s="5" t="s">
        <v>39</v>
      </c>
      <c r="D56" s="5">
        <f>G43</f>
        <v>13168.75</v>
      </c>
      <c r="E56" s="5">
        <v>1.35</v>
      </c>
      <c r="F56" s="5">
        <f>E56*D56</f>
        <v>17777.8125</v>
      </c>
    </row>
    <row r="57" spans="2:8" x14ac:dyDescent="0.25">
      <c r="B57" s="5"/>
      <c r="C57" s="5" t="s">
        <v>40</v>
      </c>
      <c r="D57" s="5">
        <f>MAX(Sheet3!N2:N4)</f>
        <v>5375</v>
      </c>
      <c r="E57" s="5">
        <v>1.5</v>
      </c>
      <c r="F57" s="5">
        <f>E57*D57</f>
        <v>8062.5</v>
      </c>
    </row>
    <row r="58" spans="2:8" x14ac:dyDescent="0.25">
      <c r="B58" s="5"/>
      <c r="C58" s="5"/>
      <c r="D58" s="5"/>
      <c r="E58" s="5"/>
      <c r="F58" s="25">
        <f>SUM(F56:F57)</f>
        <v>25840.3125</v>
      </c>
      <c r="G58" s="22" t="s">
        <v>44</v>
      </c>
    </row>
    <row r="62" spans="2:8" x14ac:dyDescent="0.25">
      <c r="B62" s="5" t="s">
        <v>54</v>
      </c>
      <c r="C62" s="5" t="s">
        <v>55</v>
      </c>
      <c r="D62" s="5" t="s">
        <v>56</v>
      </c>
      <c r="E62" s="5" t="s">
        <v>57</v>
      </c>
      <c r="F62" s="5" t="s">
        <v>58</v>
      </c>
      <c r="G62" s="5" t="s">
        <v>59</v>
      </c>
    </row>
    <row r="63" spans="2:8" x14ac:dyDescent="0.25">
      <c r="B63" s="5">
        <v>3.5000000000000001E-3</v>
      </c>
      <c r="C63" s="5">
        <f>0.00217</f>
        <v>2.1700000000000001E-3</v>
      </c>
      <c r="D63" s="5">
        <v>304268.48103590758</v>
      </c>
      <c r="E63" s="5">
        <v>230868.54790439107</v>
      </c>
      <c r="F63" s="5"/>
      <c r="G63" s="5"/>
    </row>
    <row r="64" spans="2:8" x14ac:dyDescent="0.25">
      <c r="B64" s="5">
        <v>3.5000000000000001E-3</v>
      </c>
      <c r="C64" s="5">
        <f>C63+0.005</f>
        <v>7.1700000000000002E-3</v>
      </c>
      <c r="D64" s="5">
        <v>161748.84626694425</v>
      </c>
      <c r="E64" s="5">
        <v>142586.7953481575</v>
      </c>
      <c r="F64" s="5"/>
      <c r="G64" s="5"/>
    </row>
    <row r="65" spans="2:7" x14ac:dyDescent="0.25">
      <c r="B65" s="5">
        <v>3.5000000000000001E-3</v>
      </c>
      <c r="C65" s="5">
        <f t="shared" ref="C65:C77" si="4">C64+0.005</f>
        <v>1.217E-2</v>
      </c>
      <c r="D65" s="5">
        <v>110179.02351742871</v>
      </c>
      <c r="E65" s="5">
        <v>101980.32915909463</v>
      </c>
      <c r="F65" s="5"/>
      <c r="G65" s="5"/>
    </row>
    <row r="66" spans="2:7" x14ac:dyDescent="0.25">
      <c r="B66" s="5">
        <v>3.5000000000000001E-3</v>
      </c>
      <c r="C66" s="5">
        <f t="shared" si="4"/>
        <v>1.7170000000000001E-2</v>
      </c>
      <c r="D66" s="5">
        <v>81783.695450357627</v>
      </c>
      <c r="E66" s="5">
        <v>77752.865026835672</v>
      </c>
      <c r="F66" s="5"/>
      <c r="G66" s="5"/>
    </row>
    <row r="67" spans="2:7" x14ac:dyDescent="0.25">
      <c r="B67" s="5">
        <v>3.5000000000000001E-3</v>
      </c>
      <c r="C67" s="5">
        <f t="shared" si="4"/>
        <v>2.2170000000000002E-2</v>
      </c>
      <c r="D67" s="5">
        <v>67138.768116722495</v>
      </c>
      <c r="E67" s="5">
        <v>64586.759024119507</v>
      </c>
      <c r="F67" s="5"/>
      <c r="G67" s="5"/>
    </row>
    <row r="68" spans="2:7" x14ac:dyDescent="0.25">
      <c r="B68" s="5">
        <v>3.5000000000000001E-3</v>
      </c>
      <c r="C68" s="5">
        <f t="shared" si="4"/>
        <v>2.7170000000000003E-2</v>
      </c>
      <c r="D68" s="5">
        <v>56744.545005305576</v>
      </c>
      <c r="E68" s="5">
        <v>55107.413809307378</v>
      </c>
      <c r="F68" s="5"/>
      <c r="G68" s="5"/>
    </row>
    <row r="69" spans="2:7" x14ac:dyDescent="0.25">
      <c r="B69" s="5">
        <v>3.5000000000000001E-3</v>
      </c>
      <c r="C69" s="5">
        <f t="shared" si="4"/>
        <v>3.2170000000000004E-2</v>
      </c>
      <c r="D69" s="5">
        <v>49455.173061294685</v>
      </c>
      <c r="E69" s="5">
        <v>48293.345802788586</v>
      </c>
      <c r="F69" s="5"/>
      <c r="G69" s="5"/>
    </row>
    <row r="70" spans="2:7" x14ac:dyDescent="0.25">
      <c r="B70" s="5">
        <v>3.5000000000000001E-3</v>
      </c>
      <c r="C70" s="5">
        <f t="shared" si="4"/>
        <v>3.7170000000000002E-2</v>
      </c>
      <c r="D70" s="5">
        <v>39481.715025984602</v>
      </c>
      <c r="E70" s="5">
        <v>38955.451769289262</v>
      </c>
      <c r="F70" s="5"/>
      <c r="G70" s="5"/>
    </row>
    <row r="71" spans="2:7" x14ac:dyDescent="0.25">
      <c r="B71" s="5">
        <v>3.5000000000000001E-3</v>
      </c>
      <c r="C71" s="5">
        <f t="shared" si="4"/>
        <v>4.2169999999999999E-2</v>
      </c>
      <c r="D71" s="5">
        <v>37560.718015246719</v>
      </c>
      <c r="E71" s="5">
        <v>37119.380667089179</v>
      </c>
      <c r="F71" s="5"/>
      <c r="G71" s="5"/>
    </row>
    <row r="72" spans="2:7" x14ac:dyDescent="0.25">
      <c r="B72" s="5">
        <v>3.5000000000000001E-3</v>
      </c>
      <c r="C72" s="5">
        <f t="shared" si="4"/>
        <v>4.7169999999999997E-2</v>
      </c>
      <c r="D72" s="5">
        <v>36046.533787089189</v>
      </c>
      <c r="E72" s="5">
        <v>35638.113487369854</v>
      </c>
      <c r="F72" s="5"/>
      <c r="G72" s="5"/>
    </row>
    <row r="73" spans="2:7" x14ac:dyDescent="0.25">
      <c r="B73" s="5">
        <v>3.5000000000000001E-3</v>
      </c>
      <c r="C73" s="5">
        <f t="shared" si="4"/>
        <v>5.2169999999999994E-2</v>
      </c>
      <c r="D73" s="5">
        <v>34261.141037211397</v>
      </c>
      <c r="E73" s="5">
        <v>33920.310359329997</v>
      </c>
      <c r="F73" s="5"/>
      <c r="G73" s="5"/>
    </row>
    <row r="74" spans="2:7" x14ac:dyDescent="0.25">
      <c r="B74" s="5">
        <v>3.5000000000000001E-3</v>
      </c>
      <c r="C74" s="5">
        <f t="shared" si="4"/>
        <v>5.7169999999999992E-2</v>
      </c>
      <c r="D74" s="5">
        <v>32543.550417763701</v>
      </c>
      <c r="E74" s="5">
        <v>32261.6412183703</v>
      </c>
      <c r="F74" s="5"/>
      <c r="G74" s="5"/>
    </row>
    <row r="75" spans="2:7" x14ac:dyDescent="0.25">
      <c r="B75" s="5">
        <v>3.5000000000000001E-3</v>
      </c>
      <c r="C75" s="5">
        <f t="shared" si="4"/>
        <v>6.2169999999999989E-2</v>
      </c>
      <c r="D75" s="5">
        <v>30825.959798315998</v>
      </c>
      <c r="E75" s="5">
        <v>30602.972077410599</v>
      </c>
      <c r="F75" s="5"/>
      <c r="G75" s="5"/>
    </row>
    <row r="76" spans="2:7" x14ac:dyDescent="0.25">
      <c r="B76" s="5">
        <v>3.5000000000000001E-3</v>
      </c>
      <c r="C76" s="5">
        <f t="shared" si="4"/>
        <v>6.7169999999999994E-2</v>
      </c>
      <c r="D76" s="5">
        <v>29108.369178868299</v>
      </c>
      <c r="E76" s="5">
        <v>28944.302936450898</v>
      </c>
      <c r="F76" s="5"/>
      <c r="G76" s="5"/>
    </row>
    <row r="77" spans="2:7" x14ac:dyDescent="0.25">
      <c r="B77" s="5">
        <v>3.5000000000000001E-3</v>
      </c>
      <c r="C77" s="5">
        <f t="shared" si="4"/>
        <v>7.2169999999999998E-2</v>
      </c>
      <c r="D77" s="5">
        <v>27390.7785594206</v>
      </c>
      <c r="E77" s="5">
        <v>27285.633795491201</v>
      </c>
      <c r="F77" s="5"/>
      <c r="G77" s="5"/>
    </row>
    <row r="78" spans="2:7" x14ac:dyDescent="0.25">
      <c r="B78" s="5"/>
      <c r="C78" s="5"/>
      <c r="D78" s="5"/>
      <c r="E78" s="5"/>
      <c r="F78" s="5"/>
      <c r="G78" s="5"/>
    </row>
  </sheetData>
  <hyperlinks>
    <hyperlink ref="B42" r:id="rId1" display="BM@" xr:uid="{00000000-0004-0000-0300-000000000000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BENDING MOMENT</vt:lpstr>
      <vt:lpstr>shear force</vt:lpstr>
      <vt:lpstr>Sheet3</vt:lpstr>
      <vt:lpstr>Sheet4</vt:lpstr>
      <vt:lpstr>span</vt:lpstr>
    </vt:vector>
  </TitlesOfParts>
  <Company>Deftones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Sarthak Aganja</cp:lastModifiedBy>
  <dcterms:created xsi:type="dcterms:W3CDTF">2023-05-09T07:23:49Z</dcterms:created>
  <dcterms:modified xsi:type="dcterms:W3CDTF">2024-08-22T12:00:59Z</dcterms:modified>
</cp:coreProperties>
</file>